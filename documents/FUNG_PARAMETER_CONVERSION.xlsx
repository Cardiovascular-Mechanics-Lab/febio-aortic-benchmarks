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e2c40b4813f8c08/Documents/arterial-tissue-model/documents/"/>
    </mc:Choice>
  </mc:AlternateContent>
  <xr:revisionPtr revIDLastSave="0" documentId="8_{339E55BC-71D8-4345-AFDF-2214C61C0C0C}" xr6:coauthVersionLast="47" xr6:coauthVersionMax="47" xr10:uidLastSave="{00000000-0000-0000-0000-000000000000}"/>
  <bookViews>
    <workbookView xWindow="-108" yWindow="-108" windowWidth="23256" windowHeight="12456" xr2:uid="{E8BCCB77-8B5F-49A5-9B6C-1403400FACBA}"/>
  </bookViews>
  <sheets>
    <sheet name="Overview" sheetId="7" r:id="rId1"/>
    <sheet name="CNc3P_53_Isotropic" sheetId="1" r:id="rId2"/>
    <sheet name="CNc3P_53_TransIso" sheetId="5" r:id="rId3"/>
    <sheet name="CNd1_65_TransIso" sheetId="6" r:id="rId4"/>
  </sheets>
  <definedNames>
    <definedName name="_xlnm.Print_Area" localSheetId="1">CNc3P_53_Isotropic!$D$2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2" i="6" l="1"/>
  <c r="B32" i="6"/>
  <c r="B31" i="6"/>
  <c r="B18" i="6"/>
  <c r="B17" i="6"/>
  <c r="H12" i="6" s="1"/>
  <c r="B16" i="6"/>
  <c r="B19" i="6" s="1"/>
  <c r="I12" i="6"/>
  <c r="H11" i="6"/>
  <c r="I10" i="6"/>
  <c r="H10" i="6"/>
  <c r="G10" i="6"/>
  <c r="B30" i="5"/>
  <c r="G31" i="5"/>
  <c r="B29" i="5"/>
  <c r="B32" i="5"/>
  <c r="B18" i="5"/>
  <c r="G12" i="5" s="1"/>
  <c r="B17" i="5"/>
  <c r="I11" i="5" s="1"/>
  <c r="B16" i="5"/>
  <c r="I12" i="5"/>
  <c r="H11" i="5"/>
  <c r="G11" i="5"/>
  <c r="H10" i="5"/>
  <c r="G10" i="5"/>
  <c r="B32" i="1"/>
  <c r="I12" i="1"/>
  <c r="H11" i="1"/>
  <c r="G10" i="1"/>
  <c r="B16" i="1"/>
  <c r="H10" i="1" s="1"/>
  <c r="B17" i="1"/>
  <c r="I11" i="1" s="1"/>
  <c r="B18" i="1"/>
  <c r="I10" i="1" s="1"/>
  <c r="G11" i="6" l="1"/>
  <c r="G17" i="6" s="1" a="1"/>
  <c r="I11" i="6"/>
  <c r="H12" i="5"/>
  <c r="B19" i="5"/>
  <c r="I10" i="5"/>
  <c r="G17" i="5" s="1" a="1"/>
  <c r="H12" i="1"/>
  <c r="G11" i="1"/>
  <c r="G12" i="1"/>
  <c r="B19" i="1"/>
  <c r="G17" i="6" l="1"/>
  <c r="G23" i="6" s="1"/>
  <c r="G25" i="6"/>
  <c r="G24" i="6"/>
  <c r="G24" i="5"/>
  <c r="G25" i="5"/>
  <c r="G17" i="5"/>
  <c r="G23" i="5" s="1"/>
  <c r="G17" i="1" a="1"/>
  <c r="G17" i="1" s="1"/>
  <c r="G23" i="1" s="1"/>
  <c r="G27" i="6" l="1"/>
  <c r="B27" i="6" s="1"/>
  <c r="B24" i="6"/>
  <c r="G28" i="6"/>
  <c r="B28" i="6" s="1"/>
  <c r="B29" i="6"/>
  <c r="B25" i="6"/>
  <c r="B23" i="6"/>
  <c r="G26" i="6"/>
  <c r="B26" i="6" s="1"/>
  <c r="G26" i="5"/>
  <c r="B26" i="5" s="1"/>
  <c r="B23" i="5"/>
  <c r="G28" i="5"/>
  <c r="B28" i="5" s="1"/>
  <c r="B25" i="5"/>
  <c r="B31" i="5"/>
  <c r="B24" i="5"/>
  <c r="G27" i="5"/>
  <c r="B27" i="5" s="1"/>
  <c r="G24" i="1"/>
  <c r="G25" i="1"/>
  <c r="G27" i="1"/>
  <c r="B27" i="1" s="1"/>
  <c r="B24" i="1"/>
  <c r="G32" i="1"/>
  <c r="B30" i="1" s="1"/>
  <c r="B25" i="1"/>
  <c r="G33" i="1"/>
  <c r="B31" i="1" s="1"/>
  <c r="G28" i="1"/>
  <c r="B28" i="1" s="1"/>
  <c r="G26" i="1"/>
  <c r="B26" i="1" s="1"/>
  <c r="B23" i="1"/>
  <c r="G31" i="1"/>
  <c r="B29" i="1" s="1"/>
  <c r="G32" i="6" l="1"/>
  <c r="B30" i="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<sst xmlns="http://schemas.openxmlformats.org/spreadsheetml/2006/main" count="379" uniqueCount="88">
  <si>
    <t>CNc3P_53</t>
  </si>
  <si>
    <t>a</t>
  </si>
  <si>
    <t>E1</t>
  </si>
  <si>
    <t>v12</t>
  </si>
  <si>
    <t>G12</t>
  </si>
  <si>
    <t>a11</t>
  </si>
  <si>
    <t>E2</t>
  </si>
  <si>
    <t>v23</t>
  </si>
  <si>
    <t>G23</t>
  </si>
  <si>
    <t>a22</t>
  </si>
  <si>
    <t>E3</t>
  </si>
  <si>
    <t>v31</t>
  </si>
  <si>
    <t>G31</t>
  </si>
  <si>
    <t>a33</t>
  </si>
  <si>
    <t>k12</t>
  </si>
  <si>
    <t>c</t>
  </si>
  <si>
    <t>k23</t>
  </si>
  <si>
    <t>k31</t>
  </si>
  <si>
    <t>Intermediate calculations</t>
  </si>
  <si>
    <t>a12</t>
  </si>
  <si>
    <t>a23</t>
  </si>
  <si>
    <t>a31</t>
  </si>
  <si>
    <t>v13</t>
  </si>
  <si>
    <t>CNd1_65</t>
  </si>
  <si>
    <t>Configuration</t>
  </si>
  <si>
    <t>Source</t>
  </si>
  <si>
    <t>Bhat &amp; Yamada (2022), Table 2e</t>
  </si>
  <si>
    <t>Specimen</t>
  </si>
  <si>
    <t xml:space="preserve">Units </t>
  </si>
  <si>
    <t>kPa</t>
  </si>
  <si>
    <t>Bhat &amp; Yamada (2022), Table 2b</t>
  </si>
  <si>
    <t>Stiffness Matrix Constuction</t>
  </si>
  <si>
    <t>Comments</t>
  </si>
  <si>
    <t>Eq. 18, Bhat &amp; Yamada (2022)</t>
  </si>
  <si>
    <t xml:space="preserve">Eq. 39, Bhat &amp; Yamada (2022) </t>
  </si>
  <si>
    <t>Units:</t>
  </si>
  <si>
    <t xml:space="preserve">Stiffness Matrix: </t>
  </si>
  <si>
    <t>—</t>
  </si>
  <si>
    <t xml:space="preserve">Units: </t>
  </si>
  <si>
    <t>1/kPa</t>
  </si>
  <si>
    <t>Parameter</t>
  </si>
  <si>
    <t>Value</t>
  </si>
  <si>
    <t>Units</t>
  </si>
  <si>
    <t>Calculation</t>
  </si>
  <si>
    <t>E1 = 1/S11</t>
  </si>
  <si>
    <t>MPa</t>
  </si>
  <si>
    <t>v12 = - E1*S12</t>
  </si>
  <si>
    <t>v31 = - E3*S31</t>
  </si>
  <si>
    <t>E3 = 1/S33</t>
  </si>
  <si>
    <t>E2 = 1/S22</t>
  </si>
  <si>
    <t>v23 = - E2*S23</t>
  </si>
  <si>
    <t xml:space="preserve">Isotropic </t>
  </si>
  <si>
    <t xml:space="preserve">Shear Moduli </t>
  </si>
  <si>
    <t>Calculation/Justification</t>
  </si>
  <si>
    <t>G12 = E1/3</t>
  </si>
  <si>
    <t>G23 = E2/3</t>
  </si>
  <si>
    <t>G31 = E3/3</t>
  </si>
  <si>
    <t xml:space="preserve">Published Parameters </t>
  </si>
  <si>
    <t>K</t>
  </si>
  <si>
    <t>c = 2*a</t>
  </si>
  <si>
    <t>Compliance Matrix(S = C^-1):</t>
  </si>
  <si>
    <t>Transversely Isotropic (x1 - x2)</t>
  </si>
  <si>
    <t>Note: G23 and G31 could not be uniquely
 determined from the parameters reported by Bhat &amp;
 Yamada (2022) and were therefore assigned values for the
 FEBio verification. A sensitivity analysis was performed to
 evaluate the influence of these assumed values; see
 MATERIAL_MODEL_VERIFICATION.md.</t>
  </si>
  <si>
    <t>assumed; sensitivity tested</t>
  </si>
  <si>
    <t>G12 = E3/3</t>
  </si>
  <si>
    <t>Calculated from compliance matrix.</t>
  </si>
  <si>
    <t xml:space="preserve">Final FEBio Parameters </t>
  </si>
  <si>
    <t>Transversely Isotropic (x2 - x3)</t>
  </si>
  <si>
    <t>Bhat &amp; Yamada (2022), Table 2a</t>
  </si>
  <si>
    <t>Calculated from transverse-isotropy relationship.</t>
  </si>
  <si>
    <t>Not reported; assumed. Sensitivity tested.</t>
  </si>
  <si>
    <t>Fung Orthotropic Material Parameter Conversion</t>
  </si>
  <si>
    <t xml:space="preserve">Verification Cases </t>
  </si>
  <si>
    <t>Specimen ID</t>
  </si>
  <si>
    <t xml:space="preserve">Material Configuration </t>
  </si>
  <si>
    <t>CNc3P_53_Isotropic</t>
  </si>
  <si>
    <t>CNc3P_53_TransIso</t>
  </si>
  <si>
    <t>CNd1_65_TransIso</t>
  </si>
  <si>
    <t>Isotropic</t>
  </si>
  <si>
    <t>Transversely isotropic (x1 - x2)</t>
  </si>
  <si>
    <t>Transversely isotropic (x2 - x3)</t>
  </si>
  <si>
    <t xml:space="preserve">Parameter Conversion Method </t>
  </si>
  <si>
    <t>Bhat &amp; Yamada (2022) and FEBio express the coefficients of the Fung orthotropic material formulation using different parameter sets. For each verification case, the published Fung parameters were used to construct the corresponding stiffness matrix. The stiffness matrix was inverted to obtain the compliance matrix, from which the elastic moduli and Poisson's ratios required by FEBio were calculated.
Shear moduli that could be determined from the symmetry relationships of the corresponding material configuration were calculated accordingly. Where a required shear modulus could not be uniquely determined from the reported parameters, an assumed value was assigned. The bulk modulus required by FEBio was not reported by Bhat &amp; Yamada (2022) and was also assigned for the verification models.
Sensitivity analyses were performed to evaluate the influence of the assumed shear and bulk moduli on the predicted response. These analyses are documented in MATERIAL_MODEL_VERIFICATION.md.</t>
  </si>
  <si>
    <t xml:space="preserve">Units &amp; Convention </t>
  </si>
  <si>
    <t>- Published stress-related parameters and intermediate calculations are reported in kPa, consistent with Bhat &amp; Yamada (2022).
- Final stress-related FEBio input parameters are reported in MPa, consistent with the unit system used by the verification models.
- Poisson's ratios and other dimensionless parameters are indicated by an em dash (—) in the Units column.
- x1, x2, and x3 refer to the local material directions used in the Fung orthotropic formulation.
- Values identified as assumed were not directly determined from the published material parameters; see the verification document for their justification and sensitivity analysis.</t>
  </si>
  <si>
    <t>The published Fung parameters were used 
to construct the stiffness matrix according
 to the relationships described by Bhat &amp;
 Yamada (2022) and as outlined in the MATERIAL_MODEL_VERIFICATION.md.</t>
  </si>
  <si>
    <t>This workbook documents the conversion of the Fung material parameters
 reported by Bhat &amp; Yamada (2022) to the engineering constants required by
 the FEBio implementation of the Fung orthotropic material model. The calculations correspond to
 the Fung verification cases described in  MATERIAL_MODEL_VERIFICATION.md.</t>
  </si>
  <si>
    <t xml:space="preserve">Worksheet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</si>
</sst>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6" x14ac:knownFonts="1">
    <font>
      <sz val="11"/>
      <color theme="1"/>
      <name val="Aptos Narrow"/>
      <family val="2"/>
      <scheme val="minor"/>
    </font>
    <font>
      <b/>
      <sz val="11"/>
      <color theme="1"/>
      <name val="Aptos Narrow"/>
      <family val="2"/>
      <scheme val="minor"/>
    </font>
    <font>
      <sz val="8"/>
      <name val="Aptos Narrow"/>
      <family val="2"/>
      <scheme val="minor"/>
    </font>
    <font>
      <b/>
      <sz val="14"/>
      <color theme="1"/>
      <name val="Aptos Narrow"/>
      <family val="2"/>
      <scheme val="minor"/>
    </font>
    <font>
      <b/>
      <sz val="12"/>
      <color theme="1"/>
      <name val="Aptos Narrow"/>
      <family val="2"/>
      <scheme val="minor"/>
    </font>
    <font>
      <i/>
      <sz val="10"/>
      <color theme="1"/>
      <name val="Aptos Narrow"/>
      <family val="2"/>
      <scheme val="minor"/>
    </font>
  </fonts>
  <fills count="5">
    <fill>
      <patternFill patternType="none"/>
    </fill>
    <fill>
      <patternFill patternType="gray125"/>
    </fill>
    <fill>
      <patternFill patternType="solid">
        <fgColor theme="1"/>
        <bgColor indexed="64"/>
      </patternFill>
    </fill>
    <fill>
      <patternFill patternType="solid">
        <fgColor theme="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7">
    <xf numFmtId="0" fontId="0" fillId="0" borderId="0" xfId="0"/>
    <xf numFmtId="0" fontId="0" fillId="0" borderId="0" xfId="0" applyAlignment="1">
      <alignment wrapText="1"/>
    </xf>
    <xf numFmtId="0" fontId="0" fillId="0" borderId="0" xfId="0" applyAlignment="1"/>
    <xf numFmtId="0" fontId="0" fillId="0" borderId="1" xfId="0" applyBorder="1"/>
    <xf numFmtId="0" fontId="0" fillId="0" borderId="1" xfId="0" applyBorder="1" applyAlignment="1">
      <alignment horizontal="center" wrapText="1"/>
    </xf>
    <xf numFmtId="0" fontId="0" fillId="0" borderId="1" xfId="0" applyBorder="1" applyAlignment="1">
      <alignment horizontal="center"/>
    </xf>
    <xf numFmtId="0" fontId="0" fillId="0" borderId="2" xfId="0" applyBorder="1"/>
    <xf numFmtId="0" fontId="0" fillId="0" borderId="0" xfId="0" applyBorder="1"/>
    <xf numFmtId="0" fontId="0" fillId="2" borderId="1" xfId="0" applyFill="1" applyBorder="1"/>
    <xf numFmtId="0" fontId="0" fillId="0" borderId="5" xfId="0" applyBorder="1"/>
    <xf numFmtId="0" fontId="1" fillId="0" borderId="1" xfId="0" applyFont="1" applyBorder="1"/>
    <xf numFmtId="0" fontId="1" fillId="0" borderId="0" xfId="0" applyFont="1"/>
    <xf numFmtId="0" fontId="0" fillId="0" borderId="1" xfId="0" applyFill="1" applyBorder="1"/>
    <xf numFmtId="164" fontId="0" fillId="0" borderId="1" xfId="0" applyNumberFormat="1" applyBorder="1"/>
    <xf numFmtId="0" fontId="0" fillId="0" borderId="1" xfId="0" applyBorder="1" applyAlignment="1">
      <alignment wrapText="1"/>
    </xf>
    <xf numFmtId="0" fontId="1" fillId="3" borderId="1" xfId="0" applyFont="1" applyFill="1" applyBorder="1" applyAlignment="1">
      <alignment horizontal="center"/>
    </xf>
    <xf numFmtId="0" fontId="1" fillId="3" borderId="1" xfId="0" applyFont="1" applyFill="1" applyBorder="1"/>
    <xf numFmtId="0" fontId="0" fillId="3" borderId="1" xfId="0" applyFill="1" applyBorder="1"/>
    <xf numFmtId="0" fontId="1" fillId="3" borderId="4" xfId="0" applyFont="1" applyFill="1" applyBorder="1" applyAlignment="1">
      <alignment horizontal="center"/>
    </xf>
    <xf numFmtId="0" fontId="1" fillId="3" borderId="6" xfId="0" applyFont="1" applyFill="1" applyBorder="1" applyAlignment="1">
      <alignment horizontal="center"/>
    </xf>
    <xf numFmtId="0" fontId="1" fillId="3" borderId="2" xfId="0" applyFont="1" applyFill="1" applyBorder="1" applyAlignment="1">
      <alignment horizontal="center"/>
    </xf>
    <xf numFmtId="0" fontId="0" fillId="3" borderId="3" xfId="0" applyFill="1" applyBorder="1"/>
    <xf numFmtId="0" fontId="4" fillId="0" borderId="0" xfId="0" applyFont="1"/>
    <xf numFmtId="0" fontId="0" fillId="0" borderId="7" xfId="0" applyBorder="1" applyAlignment="1">
      <alignment horizontal="left" wrapText="1"/>
    </xf>
    <xf numFmtId="0" fontId="0" fillId="0" borderId="0" xfId="0" applyBorder="1" applyAlignment="1">
      <alignment horizontal="left" wrapText="1"/>
    </xf>
    <xf numFmtId="0" fontId="5" fillId="0" borderId="7" xfId="0" applyFont="1" applyBorder="1" applyAlignment="1">
      <alignment horizontal="left" wrapText="1"/>
    </xf>
    <xf numFmtId="1" fontId="0" fillId="0" borderId="1" xfId="0" applyNumberFormat="1" applyBorder="1"/>
    <xf numFmtId="0" fontId="0" fillId="0" borderId="1" xfId="0" applyBorder="1" applyAlignment="1"/>
    <xf numFmtId="0" fontId="3" fillId="4" borderId="0" xfId="0" applyFont="1" applyFill="1" applyAlignment="1"/>
    <xf numFmtId="0" fontId="0" fillId="0" borderId="0" xfId="0" applyFill="1" applyAlignment="1">
      <alignment wrapText="1"/>
    </xf>
    <xf numFmtId="0" fontId="0" fillId="0" borderId="0" xfId="0" quotePrefix="1" applyAlignment="1">
      <alignment wrapText="1"/>
    </xf>
    <xf numFmtId="0" fontId="3" fillId="3" borderId="1" xfId="0" applyFont="1" applyFill="1" applyBorder="1" applyAlignment="1">
      <alignment horizontal="center" wrapText="1"/>
    </xf>
    <xf numFmtId="0" fontId="1" fillId="0" borderId="1" xfId="0" applyFont="1" applyBorder="1" applyAlignment="1">
      <alignment horizontal="left"/>
    </xf>
    <xf numFmtId="0" fontId="3" fillId="3" borderId="1" xfId="0" applyFont="1" applyFill="1" applyBorder="1" applyAlignment="1">
      <alignment horizontal="center"/>
    </xf>
    <xf numFmtId="0" fontId="0" fillId="0" borderId="1" xfId="0" applyFill="1" applyBorder="1" applyAlignment="1">
      <alignment horizontal="left" wrapText="1"/>
    </xf>
    <xf numFmtId="0" fontId="0" fillId="0" borderId="1" xfId="0" applyBorder="1" applyAlignment="1">
      <alignment horizontal="left" vertical="center" wrapText="1"/>
    </xf>
    <xf numFmtId="0" fontId="0" fillId="0" borderId="1" xfId="0" quotePrefix="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7EACA-24BF-4F64-B1D1-540B19D1B5DA}">
  <dimension ref="A1:F50"/>
  <sheetViews>
    <sheetView tabSelected="1" workbookViewId="0">
      <selection activeCell="G5" sqref="G5"/>
    </sheetView>
  </sheetViews>
  <sheetFormatPr defaultRowHeight="14.4" x14ac:dyDescent="0.3"/>
  <cols>
    <col min="1" max="1" width="18.109375" customWidth="1"/>
    <col min="2" max="2" width="11" bestFit="1" customWidth="1"/>
    <col min="3" max="3" width="24.88671875" customWidth="1"/>
    <col min="4" max="4" width="6.6640625" bestFit="1" customWidth="1"/>
    <col min="5" max="5" width="19.6640625" customWidth="1"/>
  </cols>
  <sheetData>
    <row r="1" spans="1:6" ht="18" x14ac:dyDescent="0.35">
      <c r="A1" s="33" t="s">
        <v>71</v>
      </c>
      <c r="B1" s="33"/>
      <c r="C1" s="33"/>
      <c r="D1" s="33"/>
      <c r="E1" s="33"/>
      <c r="F1" s="28"/>
    </row>
    <row r="2" spans="1:6" ht="14.4" customHeight="1" x14ac:dyDescent="0.3">
      <c r="A2" s="34" t="s">
        <v>86</v>
      </c>
      <c r="B2" s="34"/>
      <c r="C2" s="34"/>
      <c r="D2" s="34"/>
      <c r="E2" s="34"/>
    </row>
    <row r="3" spans="1:6" x14ac:dyDescent="0.3">
      <c r="A3" s="34"/>
      <c r="B3" s="34"/>
      <c r="C3" s="34"/>
      <c r="D3" s="34"/>
      <c r="E3" s="34"/>
    </row>
    <row r="4" spans="1:6" x14ac:dyDescent="0.3">
      <c r="A4" s="34"/>
      <c r="B4" s="34"/>
      <c r="C4" s="34"/>
      <c r="D4" s="34"/>
      <c r="E4" s="34"/>
    </row>
    <row r="5" spans="1:6" x14ac:dyDescent="0.3">
      <c r="A5" s="34"/>
      <c r="B5" s="34"/>
      <c r="C5" s="34"/>
      <c r="D5" s="34"/>
      <c r="E5" s="34"/>
    </row>
    <row r="6" spans="1:6" x14ac:dyDescent="0.3">
      <c r="A6" s="29"/>
      <c r="B6" s="29"/>
      <c r="C6" s="29"/>
      <c r="D6" s="29"/>
      <c r="E6" s="29"/>
    </row>
    <row r="7" spans="1:6" ht="18" customHeight="1" x14ac:dyDescent="0.35">
      <c r="A7" s="31" t="s">
        <v>72</v>
      </c>
      <c r="B7" s="31"/>
      <c r="C7" s="31"/>
      <c r="D7" s="31"/>
      <c r="E7" s="31"/>
    </row>
    <row r="8" spans="1:6" x14ac:dyDescent="0.3">
      <c r="A8" s="10" t="s">
        <v>87</v>
      </c>
      <c r="B8" s="10" t="s">
        <v>73</v>
      </c>
      <c r="C8" s="10" t="s">
        <v>74</v>
      </c>
      <c r="D8" s="32" t="s">
        <v>25</v>
      </c>
      <c r="E8" s="32"/>
    </row>
    <row r="9" spans="1:6" ht="16.2" customHeight="1" x14ac:dyDescent="0.3">
      <c r="A9" s="3" t="s">
        <v>75</v>
      </c>
      <c r="B9" s="3" t="s">
        <v>0</v>
      </c>
      <c r="C9" s="3" t="s">
        <v>78</v>
      </c>
      <c r="D9" s="3" t="s">
        <v>68</v>
      </c>
      <c r="E9" s="3"/>
    </row>
    <row r="10" spans="1:6" x14ac:dyDescent="0.3">
      <c r="A10" s="3" t="s">
        <v>76</v>
      </c>
      <c r="B10" s="3" t="s">
        <v>0</v>
      </c>
      <c r="C10" s="3" t="s">
        <v>79</v>
      </c>
      <c r="D10" s="3" t="s">
        <v>30</v>
      </c>
      <c r="E10" s="3"/>
    </row>
    <row r="11" spans="1:6" x14ac:dyDescent="0.3">
      <c r="A11" s="3" t="s">
        <v>77</v>
      </c>
      <c r="B11" s="3" t="s">
        <v>23</v>
      </c>
      <c r="C11" s="3" t="s">
        <v>80</v>
      </c>
      <c r="D11" s="3" t="s">
        <v>26</v>
      </c>
      <c r="E11" s="3"/>
    </row>
    <row r="13" spans="1:6" ht="18" x14ac:dyDescent="0.35">
      <c r="A13" s="33" t="s">
        <v>81</v>
      </c>
      <c r="B13" s="33"/>
      <c r="C13" s="33"/>
      <c r="D13" s="33"/>
      <c r="E13" s="33"/>
    </row>
    <row r="14" spans="1:6" ht="14.4" customHeight="1" x14ac:dyDescent="0.3">
      <c r="A14" s="35" t="s">
        <v>82</v>
      </c>
      <c r="B14" s="35"/>
      <c r="C14" s="35"/>
      <c r="D14" s="35"/>
      <c r="E14" s="35"/>
    </row>
    <row r="15" spans="1:6" x14ac:dyDescent="0.3">
      <c r="A15" s="35"/>
      <c r="B15" s="35"/>
      <c r="C15" s="35"/>
      <c r="D15" s="35"/>
      <c r="E15" s="35"/>
    </row>
    <row r="16" spans="1:6" x14ac:dyDescent="0.3">
      <c r="A16" s="35"/>
      <c r="B16" s="35"/>
      <c r="C16" s="35"/>
      <c r="D16" s="35"/>
      <c r="E16" s="35"/>
    </row>
    <row r="17" spans="1:5" x14ac:dyDescent="0.3">
      <c r="A17" s="35"/>
      <c r="B17" s="35"/>
      <c r="C17" s="35"/>
      <c r="D17" s="35"/>
      <c r="E17" s="35"/>
    </row>
    <row r="18" spans="1:5" x14ac:dyDescent="0.3">
      <c r="A18" s="35"/>
      <c r="B18" s="35"/>
      <c r="C18" s="35"/>
      <c r="D18" s="35"/>
      <c r="E18" s="35"/>
    </row>
    <row r="19" spans="1:5" x14ac:dyDescent="0.3">
      <c r="A19" s="35"/>
      <c r="B19" s="35"/>
      <c r="C19" s="35"/>
      <c r="D19" s="35"/>
      <c r="E19" s="35"/>
    </row>
    <row r="20" spans="1:5" x14ac:dyDescent="0.3">
      <c r="A20" s="35"/>
      <c r="B20" s="35"/>
      <c r="C20" s="35"/>
      <c r="D20" s="35"/>
      <c r="E20" s="35"/>
    </row>
    <row r="21" spans="1:5" x14ac:dyDescent="0.3">
      <c r="A21" s="35"/>
      <c r="B21" s="35"/>
      <c r="C21" s="35"/>
      <c r="D21" s="35"/>
      <c r="E21" s="35"/>
    </row>
    <row r="22" spans="1:5" x14ac:dyDescent="0.3">
      <c r="A22" s="35"/>
      <c r="B22" s="35"/>
      <c r="C22" s="35"/>
      <c r="D22" s="35"/>
      <c r="E22" s="35"/>
    </row>
    <row r="23" spans="1:5" x14ac:dyDescent="0.3">
      <c r="A23" s="35"/>
      <c r="B23" s="35"/>
      <c r="C23" s="35"/>
      <c r="D23" s="35"/>
      <c r="E23" s="35"/>
    </row>
    <row r="24" spans="1:5" x14ac:dyDescent="0.3">
      <c r="A24" s="35"/>
      <c r="B24" s="35"/>
      <c r="C24" s="35"/>
      <c r="D24" s="35"/>
      <c r="E24" s="35"/>
    </row>
    <row r="25" spans="1:5" x14ac:dyDescent="0.3">
      <c r="A25" s="35"/>
      <c r="B25" s="35"/>
      <c r="C25" s="35"/>
      <c r="D25" s="35"/>
      <c r="E25" s="35"/>
    </row>
    <row r="26" spans="1:5" x14ac:dyDescent="0.3">
      <c r="A26" s="35"/>
      <c r="B26" s="35"/>
      <c r="C26" s="35"/>
      <c r="D26" s="35"/>
      <c r="E26" s="35"/>
    </row>
    <row r="27" spans="1:5" x14ac:dyDescent="0.3">
      <c r="A27" s="35"/>
      <c r="B27" s="35"/>
      <c r="C27" s="35"/>
      <c r="D27" s="35"/>
      <c r="E27" s="35"/>
    </row>
    <row r="28" spans="1:5" x14ac:dyDescent="0.3">
      <c r="A28" s="35"/>
      <c r="B28" s="35"/>
      <c r="C28" s="35"/>
      <c r="D28" s="35"/>
      <c r="E28" s="35"/>
    </row>
    <row r="29" spans="1:5" x14ac:dyDescent="0.3">
      <c r="A29" s="35"/>
      <c r="B29" s="35"/>
      <c r="C29" s="35"/>
      <c r="D29" s="35"/>
      <c r="E29" s="35"/>
    </row>
    <row r="30" spans="1:5" x14ac:dyDescent="0.3">
      <c r="A30" s="35"/>
      <c r="B30" s="35"/>
      <c r="C30" s="35"/>
      <c r="D30" s="35"/>
      <c r="E30" s="35"/>
    </row>
    <row r="31" spans="1:5" x14ac:dyDescent="0.3">
      <c r="A31" s="35"/>
      <c r="B31" s="35"/>
      <c r="C31" s="35"/>
      <c r="D31" s="35"/>
      <c r="E31" s="35"/>
    </row>
    <row r="32" spans="1:5" x14ac:dyDescent="0.3">
      <c r="B32" s="1"/>
      <c r="C32" s="1"/>
      <c r="D32" s="1"/>
      <c r="E32" s="1"/>
    </row>
    <row r="33" spans="1:5" ht="15" customHeight="1" x14ac:dyDescent="0.35">
      <c r="A33" s="33" t="s">
        <v>83</v>
      </c>
      <c r="B33" s="33"/>
      <c r="C33" s="33"/>
      <c r="D33" s="33"/>
      <c r="E33" s="33"/>
    </row>
    <row r="34" spans="1:5" ht="12.6" customHeight="1" x14ac:dyDescent="0.3">
      <c r="A34" s="36" t="s">
        <v>84</v>
      </c>
      <c r="B34" s="36"/>
      <c r="C34" s="36"/>
      <c r="D34" s="36"/>
      <c r="E34" s="36"/>
    </row>
    <row r="35" spans="1:5" x14ac:dyDescent="0.3">
      <c r="A35" s="36"/>
      <c r="B35" s="36"/>
      <c r="C35" s="36"/>
      <c r="D35" s="36"/>
      <c r="E35" s="36"/>
    </row>
    <row r="36" spans="1:5" x14ac:dyDescent="0.3">
      <c r="A36" s="36"/>
      <c r="B36" s="36"/>
      <c r="C36" s="36"/>
      <c r="D36" s="36"/>
      <c r="E36" s="36"/>
    </row>
    <row r="37" spans="1:5" x14ac:dyDescent="0.3">
      <c r="A37" s="36"/>
      <c r="B37" s="36"/>
      <c r="C37" s="36"/>
      <c r="D37" s="36"/>
      <c r="E37" s="36"/>
    </row>
    <row r="38" spans="1:5" x14ac:dyDescent="0.3">
      <c r="A38" s="36"/>
      <c r="B38" s="36"/>
      <c r="C38" s="36"/>
      <c r="D38" s="36"/>
      <c r="E38" s="36"/>
    </row>
    <row r="39" spans="1:5" x14ac:dyDescent="0.3">
      <c r="A39" s="36"/>
      <c r="B39" s="36"/>
      <c r="C39" s="36"/>
      <c r="D39" s="36"/>
      <c r="E39" s="36"/>
    </row>
    <row r="40" spans="1:5" x14ac:dyDescent="0.3">
      <c r="A40" s="36"/>
      <c r="B40" s="36"/>
      <c r="C40" s="36"/>
      <c r="D40" s="36"/>
      <c r="E40" s="36"/>
    </row>
    <row r="41" spans="1:5" x14ac:dyDescent="0.3">
      <c r="A41" s="36"/>
      <c r="B41" s="36"/>
      <c r="C41" s="36"/>
      <c r="D41" s="36"/>
      <c r="E41" s="36"/>
    </row>
    <row r="42" spans="1:5" x14ac:dyDescent="0.3">
      <c r="A42" s="36"/>
      <c r="B42" s="36"/>
      <c r="C42" s="36"/>
      <c r="D42" s="36"/>
      <c r="E42" s="36"/>
    </row>
    <row r="43" spans="1:5" x14ac:dyDescent="0.3">
      <c r="A43" s="36"/>
      <c r="B43" s="36"/>
      <c r="C43" s="36"/>
      <c r="D43" s="36"/>
      <c r="E43" s="36"/>
    </row>
    <row r="44" spans="1:5" x14ac:dyDescent="0.3">
      <c r="A44" s="36"/>
      <c r="B44" s="36"/>
      <c r="C44" s="36"/>
      <c r="D44" s="36"/>
      <c r="E44" s="36"/>
    </row>
    <row r="45" spans="1:5" x14ac:dyDescent="0.3">
      <c r="A45" s="30"/>
      <c r="B45" s="30"/>
      <c r="C45" s="30"/>
      <c r="D45" s="30"/>
      <c r="E45" s="30"/>
    </row>
    <row r="46" spans="1:5" x14ac:dyDescent="0.3">
      <c r="A46" s="30"/>
      <c r="B46" s="30"/>
      <c r="C46" s="30"/>
      <c r="D46" s="30"/>
      <c r="E46" s="30"/>
    </row>
    <row r="47" spans="1:5" x14ac:dyDescent="0.3">
      <c r="A47" s="2"/>
      <c r="B47" s="2"/>
      <c r="C47" s="2"/>
      <c r="D47" s="2"/>
      <c r="E47" s="2"/>
    </row>
    <row r="48" spans="1:5" x14ac:dyDescent="0.3">
      <c r="A48" s="2"/>
      <c r="B48" s="2"/>
      <c r="C48" s="2"/>
      <c r="D48" s="2"/>
      <c r="E48" s="2"/>
    </row>
    <row r="49" spans="1:5" x14ac:dyDescent="0.3">
      <c r="A49" s="2"/>
      <c r="B49" s="2"/>
      <c r="C49" s="2"/>
      <c r="D49" s="2"/>
      <c r="E49" s="2"/>
    </row>
    <row r="50" spans="1:5" x14ac:dyDescent="0.3">
      <c r="A50" s="2"/>
      <c r="B50" s="2"/>
      <c r="C50" s="2"/>
      <c r="D50" s="2"/>
      <c r="E50" s="2"/>
    </row>
  </sheetData>
  <mergeCells count="8">
    <mergeCell ref="A34:E44"/>
    <mergeCell ref="A33:E33"/>
    <mergeCell ref="D8:E8"/>
    <mergeCell ref="A14:E31"/>
    <mergeCell ref="A13:E13"/>
    <mergeCell ref="A1:E1"/>
    <mergeCell ref="A2:E5"/>
    <mergeCell ref="A7:E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EFDEE-3112-4D12-BC7B-AE0313D2BAE7}">
  <dimension ref="A1:L33"/>
  <sheetViews>
    <sheetView zoomScale="72" zoomScaleNormal="75" workbookViewId="0">
      <selection activeCell="K4" sqref="K4"/>
    </sheetView>
  </sheetViews>
  <sheetFormatPr defaultRowHeight="14.4" x14ac:dyDescent="0.3"/>
  <cols>
    <col min="1" max="1" width="14.109375" customWidth="1"/>
    <col min="2" max="2" width="16.77734375" customWidth="1"/>
    <col min="3" max="3" width="5.44140625" bestFit="1" customWidth="1"/>
    <col min="4" max="4" width="34.44140625" customWidth="1"/>
    <col min="6" max="6" width="12.6640625" customWidth="1"/>
    <col min="7" max="7" width="12.44140625" bestFit="1" customWidth="1"/>
    <col min="9" max="9" width="12.88671875" customWidth="1"/>
  </cols>
  <sheetData>
    <row r="1" spans="1:9" ht="15.6" x14ac:dyDescent="0.3">
      <c r="A1" s="22" t="s">
        <v>27</v>
      </c>
      <c r="B1" t="s">
        <v>0</v>
      </c>
      <c r="F1" s="20" t="s">
        <v>31</v>
      </c>
      <c r="G1" s="20"/>
      <c r="H1" s="20"/>
      <c r="I1" s="6"/>
    </row>
    <row r="2" spans="1:9" ht="14.4" customHeight="1" x14ac:dyDescent="0.3">
      <c r="A2" s="22" t="s">
        <v>24</v>
      </c>
      <c r="B2" t="s">
        <v>51</v>
      </c>
      <c r="D2" s="7"/>
      <c r="F2" s="4" t="s">
        <v>85</v>
      </c>
      <c r="G2" s="4"/>
      <c r="H2" s="4"/>
      <c r="I2" s="4"/>
    </row>
    <row r="3" spans="1:9" ht="15.6" x14ac:dyDescent="0.3">
      <c r="A3" s="22" t="s">
        <v>25</v>
      </c>
      <c r="B3" t="s">
        <v>68</v>
      </c>
      <c r="F3" s="4"/>
      <c r="G3" s="4"/>
      <c r="H3" s="4"/>
      <c r="I3" s="4"/>
    </row>
    <row r="4" spans="1:9" x14ac:dyDescent="0.3">
      <c r="A4" s="15" t="s">
        <v>57</v>
      </c>
      <c r="B4" s="15"/>
      <c r="C4" s="16" t="s">
        <v>28</v>
      </c>
      <c r="D4" s="16" t="s">
        <v>32</v>
      </c>
      <c r="F4" s="4"/>
      <c r="G4" s="4"/>
      <c r="H4" s="4"/>
      <c r="I4" s="4"/>
    </row>
    <row r="5" spans="1:9" x14ac:dyDescent="0.3">
      <c r="A5" s="3" t="s">
        <v>1</v>
      </c>
      <c r="B5" s="3">
        <v>20.96</v>
      </c>
      <c r="C5" s="3" t="s">
        <v>29</v>
      </c>
      <c r="D5" s="3"/>
      <c r="F5" s="4"/>
      <c r="G5" s="4"/>
      <c r="H5" s="4"/>
      <c r="I5" s="4"/>
    </row>
    <row r="6" spans="1:9" x14ac:dyDescent="0.3">
      <c r="A6" s="3" t="s">
        <v>5</v>
      </c>
      <c r="B6" s="3">
        <v>1.51</v>
      </c>
      <c r="C6" s="3" t="s">
        <v>37</v>
      </c>
      <c r="D6" s="3"/>
      <c r="F6" s="4"/>
      <c r="G6" s="4"/>
      <c r="H6" s="4"/>
      <c r="I6" s="4"/>
    </row>
    <row r="7" spans="1:9" x14ac:dyDescent="0.3">
      <c r="A7" s="3" t="s">
        <v>9</v>
      </c>
      <c r="B7" s="3">
        <v>1.51</v>
      </c>
      <c r="C7" s="3" t="s">
        <v>37</v>
      </c>
      <c r="D7" s="3"/>
      <c r="F7" s="21" t="s">
        <v>35</v>
      </c>
      <c r="G7" s="21" t="s">
        <v>29</v>
      </c>
      <c r="H7" s="7"/>
      <c r="I7" s="7"/>
    </row>
    <row r="8" spans="1:9" x14ac:dyDescent="0.3">
      <c r="A8" s="3" t="s">
        <v>13</v>
      </c>
      <c r="B8" s="3">
        <v>1.51</v>
      </c>
      <c r="C8" s="3" t="s">
        <v>37</v>
      </c>
      <c r="D8" s="3"/>
      <c r="F8" s="18" t="s">
        <v>36</v>
      </c>
      <c r="G8" s="19"/>
      <c r="H8" s="7"/>
      <c r="I8" s="7"/>
    </row>
    <row r="9" spans="1:9" x14ac:dyDescent="0.3">
      <c r="A9" s="3" t="s">
        <v>14</v>
      </c>
      <c r="B9" s="3">
        <v>0.90700000000000003</v>
      </c>
      <c r="C9" s="3" t="s">
        <v>37</v>
      </c>
      <c r="D9" s="3"/>
      <c r="F9" s="8"/>
      <c r="G9" s="3">
        <v>1</v>
      </c>
      <c r="H9" s="3">
        <v>2</v>
      </c>
      <c r="I9" s="3">
        <v>3</v>
      </c>
    </row>
    <row r="10" spans="1:9" x14ac:dyDescent="0.3">
      <c r="A10" s="3" t="s">
        <v>16</v>
      </c>
      <c r="B10" s="3">
        <v>0.90700000000000003</v>
      </c>
      <c r="C10" s="3" t="s">
        <v>37</v>
      </c>
      <c r="D10" s="3"/>
      <c r="F10" s="3">
        <v>1</v>
      </c>
      <c r="G10" s="3">
        <f>2*B5*B6</f>
        <v>63.299200000000006</v>
      </c>
      <c r="H10" s="3">
        <f>2*B5*B16</f>
        <v>57.412374399999997</v>
      </c>
      <c r="I10" s="3">
        <f>2*B5*B18</f>
        <v>57.412374399999997</v>
      </c>
    </row>
    <row r="11" spans="1:9" x14ac:dyDescent="0.3">
      <c r="A11" s="3" t="s">
        <v>17</v>
      </c>
      <c r="B11" s="3">
        <v>0.90700000000000003</v>
      </c>
      <c r="C11" s="3" t="s">
        <v>37</v>
      </c>
      <c r="D11" s="3"/>
      <c r="F11" s="3">
        <v>2</v>
      </c>
      <c r="G11" s="3">
        <f>2*B5*B16</f>
        <v>57.412374399999997</v>
      </c>
      <c r="H11" s="3">
        <f>2*B5*B7</f>
        <v>63.299200000000006</v>
      </c>
      <c r="I11" s="3">
        <f>2*B5*B17</f>
        <v>57.412374399999997</v>
      </c>
    </row>
    <row r="12" spans="1:9" x14ac:dyDescent="0.3">
      <c r="A12" s="3" t="s">
        <v>2</v>
      </c>
      <c r="B12" s="3">
        <v>8.8000000000000007</v>
      </c>
      <c r="C12" s="3" t="s">
        <v>29</v>
      </c>
      <c r="D12" s="3"/>
      <c r="F12" s="3">
        <v>3</v>
      </c>
      <c r="G12" s="3">
        <f>2*B5*B18</f>
        <v>57.412374399999997</v>
      </c>
      <c r="H12" s="3">
        <f>2*B5*B17</f>
        <v>57.412374399999997</v>
      </c>
      <c r="I12" s="3">
        <f>2*B5*B8</f>
        <v>63.299200000000006</v>
      </c>
    </row>
    <row r="13" spans="1:9" x14ac:dyDescent="0.3">
      <c r="A13" s="3" t="s">
        <v>6</v>
      </c>
      <c r="B13" s="3">
        <v>8.8000000000000007</v>
      </c>
      <c r="C13" s="3" t="s">
        <v>29</v>
      </c>
      <c r="D13" s="3"/>
      <c r="F13" s="7"/>
      <c r="G13" s="7"/>
      <c r="H13" s="7"/>
      <c r="I13" s="7"/>
    </row>
    <row r="14" spans="1:9" x14ac:dyDescent="0.3">
      <c r="A14" s="3" t="s">
        <v>10</v>
      </c>
      <c r="B14" s="3">
        <v>8.8000000000000007</v>
      </c>
      <c r="C14" s="3" t="s">
        <v>29</v>
      </c>
      <c r="D14" s="3"/>
      <c r="F14" s="18" t="s">
        <v>60</v>
      </c>
      <c r="G14" s="19"/>
      <c r="H14" s="7"/>
      <c r="I14" s="7"/>
    </row>
    <row r="15" spans="1:9" x14ac:dyDescent="0.3">
      <c r="A15" s="15" t="s">
        <v>18</v>
      </c>
      <c r="B15" s="15"/>
      <c r="C15" s="17"/>
      <c r="D15" s="17"/>
      <c r="F15" s="3" t="s">
        <v>38</v>
      </c>
      <c r="G15" s="3" t="s">
        <v>39</v>
      </c>
      <c r="H15" s="9"/>
      <c r="I15" s="7"/>
    </row>
    <row r="16" spans="1:9" x14ac:dyDescent="0.3">
      <c r="A16" s="3" t="s">
        <v>19</v>
      </c>
      <c r="B16" s="3">
        <f>B9*SQRT(B6*B7)</f>
        <v>1.36957</v>
      </c>
      <c r="C16" s="3" t="s">
        <v>37</v>
      </c>
      <c r="D16" s="3" t="s">
        <v>33</v>
      </c>
      <c r="F16" s="3"/>
      <c r="G16" s="3">
        <v>1</v>
      </c>
      <c r="H16" s="3">
        <v>2</v>
      </c>
      <c r="I16" s="3">
        <v>3</v>
      </c>
    </row>
    <row r="17" spans="1:12" x14ac:dyDescent="0.3">
      <c r="A17" s="3" t="s">
        <v>20</v>
      </c>
      <c r="B17" s="3">
        <f>B10*SQRT(B7*B8)</f>
        <v>1.36957</v>
      </c>
      <c r="C17" s="3" t="s">
        <v>37</v>
      </c>
      <c r="D17" s="3" t="s">
        <v>33</v>
      </c>
      <c r="F17" s="3">
        <v>1</v>
      </c>
      <c r="G17" s="3" cm="1">
        <f t="array" ref="G17:I19">MINVERSE(G10:I12)</f>
        <v>0.11511858165186821</v>
      </c>
      <c r="H17" s="3">
        <v>-5.4752256716436541E-2</v>
      </c>
      <c r="I17" s="3">
        <v>-5.4752256716436527E-2</v>
      </c>
    </row>
    <row r="18" spans="1:12" x14ac:dyDescent="0.3">
      <c r="A18" s="3" t="s">
        <v>21</v>
      </c>
      <c r="B18" s="3">
        <f>B11*SQRT(B8*B6)</f>
        <v>1.36957</v>
      </c>
      <c r="C18" s="3" t="s">
        <v>37</v>
      </c>
      <c r="D18" s="3" t="s">
        <v>33</v>
      </c>
      <c r="F18" s="3">
        <v>2</v>
      </c>
      <c r="G18" s="3">
        <v>-5.4752256716436527E-2</v>
      </c>
      <c r="H18" s="3">
        <v>0.11511858165186822</v>
      </c>
      <c r="I18" s="3">
        <v>-5.4752256716436527E-2</v>
      </c>
    </row>
    <row r="19" spans="1:12" x14ac:dyDescent="0.3">
      <c r="A19" s="3" t="s">
        <v>22</v>
      </c>
      <c r="B19" s="3">
        <f>(B7+B18-B16-B17)/(B7+B8-2*B17)</f>
        <v>0.50000000000000078</v>
      </c>
      <c r="C19" s="3" t="s">
        <v>37</v>
      </c>
      <c r="D19" s="3" t="s">
        <v>34</v>
      </c>
      <c r="F19" s="3">
        <v>3</v>
      </c>
      <c r="G19" s="3">
        <v>-5.4752256716436527E-2</v>
      </c>
      <c r="H19" s="3">
        <v>-5.4752256716436527E-2</v>
      </c>
      <c r="I19" s="3">
        <v>0.11511858165186821</v>
      </c>
    </row>
    <row r="22" spans="1:12" x14ac:dyDescent="0.3">
      <c r="A22" s="18" t="s">
        <v>66</v>
      </c>
      <c r="B22" s="19"/>
      <c r="C22" s="16" t="s">
        <v>42</v>
      </c>
      <c r="D22" s="16" t="s">
        <v>32</v>
      </c>
      <c r="F22" s="16" t="s">
        <v>40</v>
      </c>
      <c r="G22" s="16" t="s">
        <v>41</v>
      </c>
      <c r="H22" s="16" t="s">
        <v>42</v>
      </c>
      <c r="I22" s="16" t="s">
        <v>43</v>
      </c>
    </row>
    <row r="23" spans="1:12" x14ac:dyDescent="0.3">
      <c r="A23" s="3" t="s">
        <v>2</v>
      </c>
      <c r="B23" s="13">
        <f>G23*10^-3</f>
        <v>8.6866949336130168E-3</v>
      </c>
      <c r="C23" s="3" t="s">
        <v>45</v>
      </c>
      <c r="D23" s="3" t="s">
        <v>65</v>
      </c>
      <c r="F23" s="3" t="s">
        <v>2</v>
      </c>
      <c r="G23" s="3">
        <f>(1/G17)</f>
        <v>8.6866949336130173</v>
      </c>
      <c r="H23" s="3" t="s">
        <v>29</v>
      </c>
      <c r="I23" s="3" t="s">
        <v>44</v>
      </c>
    </row>
    <row r="24" spans="1:12" x14ac:dyDescent="0.3">
      <c r="A24" s="3" t="s">
        <v>6</v>
      </c>
      <c r="B24" s="13">
        <f>G24*10^-3</f>
        <v>8.686694933613015E-3</v>
      </c>
      <c r="C24" s="3" t="s">
        <v>45</v>
      </c>
      <c r="D24" s="3" t="s">
        <v>65</v>
      </c>
      <c r="F24" s="3" t="s">
        <v>6</v>
      </c>
      <c r="G24" s="3">
        <f>(1/H18)</f>
        <v>8.6866949336130155</v>
      </c>
      <c r="H24" s="3" t="s">
        <v>29</v>
      </c>
      <c r="I24" s="3" t="s">
        <v>49</v>
      </c>
    </row>
    <row r="25" spans="1:12" x14ac:dyDescent="0.3">
      <c r="A25" s="3" t="s">
        <v>10</v>
      </c>
      <c r="B25" s="13">
        <f>G25*10^-3</f>
        <v>8.6866949336130168E-3</v>
      </c>
      <c r="C25" s="3" t="s">
        <v>45</v>
      </c>
      <c r="D25" s="3" t="s">
        <v>65</v>
      </c>
      <c r="F25" s="3" t="s">
        <v>10</v>
      </c>
      <c r="G25" s="3">
        <f>(1/I19)</f>
        <v>8.6866949336130173</v>
      </c>
      <c r="H25" s="3" t="s">
        <v>29</v>
      </c>
      <c r="I25" s="3" t="s">
        <v>48</v>
      </c>
    </row>
    <row r="26" spans="1:12" x14ac:dyDescent="0.3">
      <c r="A26" s="3" t="s">
        <v>3</v>
      </c>
      <c r="B26" s="13">
        <f>G26</f>
        <v>0.47561615102254845</v>
      </c>
      <c r="C26" s="3" t="s">
        <v>37</v>
      </c>
      <c r="D26" s="3" t="s">
        <v>65</v>
      </c>
      <c r="F26" s="3" t="s">
        <v>3</v>
      </c>
      <c r="G26" s="3">
        <f>-G23*G18</f>
        <v>0.47561615102254845</v>
      </c>
      <c r="H26" s="3" t="s">
        <v>37</v>
      </c>
      <c r="I26" s="3" t="s">
        <v>46</v>
      </c>
      <c r="L26" s="11"/>
    </row>
    <row r="27" spans="1:12" x14ac:dyDescent="0.3">
      <c r="A27" s="3" t="s">
        <v>7</v>
      </c>
      <c r="B27" s="13">
        <f>G27</f>
        <v>0.47561615102254839</v>
      </c>
      <c r="C27" s="3" t="s">
        <v>37</v>
      </c>
      <c r="D27" s="3" t="s">
        <v>65</v>
      </c>
      <c r="F27" s="3" t="s">
        <v>7</v>
      </c>
      <c r="G27" s="3">
        <f>-G24*I18</f>
        <v>0.47561615102254839</v>
      </c>
      <c r="H27" s="3" t="s">
        <v>37</v>
      </c>
      <c r="I27" s="3" t="s">
        <v>50</v>
      </c>
    </row>
    <row r="28" spans="1:12" x14ac:dyDescent="0.3">
      <c r="A28" s="3" t="s">
        <v>11</v>
      </c>
      <c r="B28" s="13">
        <f>G28</f>
        <v>0.47561615102254845</v>
      </c>
      <c r="C28" s="3" t="s">
        <v>37</v>
      </c>
      <c r="D28" s="3" t="s">
        <v>65</v>
      </c>
      <c r="F28" s="3" t="s">
        <v>11</v>
      </c>
      <c r="G28" s="3">
        <f>-G25*G19</f>
        <v>0.47561615102254845</v>
      </c>
      <c r="H28" s="3" t="s">
        <v>37</v>
      </c>
      <c r="I28" s="3" t="s">
        <v>47</v>
      </c>
    </row>
    <row r="29" spans="1:12" x14ac:dyDescent="0.3">
      <c r="A29" s="3" t="s">
        <v>4</v>
      </c>
      <c r="B29" s="13">
        <f>G31*10^-3</f>
        <v>2.8955649778710057E-3</v>
      </c>
      <c r="C29" s="3" t="s">
        <v>45</v>
      </c>
      <c r="D29" s="3"/>
      <c r="F29" s="11"/>
      <c r="G29" s="11"/>
      <c r="H29" s="11"/>
      <c r="I29" s="11"/>
    </row>
    <row r="30" spans="1:12" x14ac:dyDescent="0.3">
      <c r="A30" s="3" t="s">
        <v>8</v>
      </c>
      <c r="B30" s="13">
        <f>G32*10^-3</f>
        <v>2.8955649778710053E-3</v>
      </c>
      <c r="C30" s="3" t="s">
        <v>45</v>
      </c>
      <c r="D30" s="3"/>
      <c r="F30" s="16" t="s">
        <v>52</v>
      </c>
      <c r="G30" s="16" t="s">
        <v>41</v>
      </c>
      <c r="H30" s="16" t="s">
        <v>42</v>
      </c>
      <c r="I30" s="15" t="s">
        <v>53</v>
      </c>
      <c r="J30" s="15"/>
    </row>
    <row r="31" spans="1:12" x14ac:dyDescent="0.3">
      <c r="A31" s="3" t="s">
        <v>12</v>
      </c>
      <c r="B31" s="13">
        <f>G33*10^-3</f>
        <v>2.8955649778710057E-3</v>
      </c>
      <c r="C31" s="3" t="s">
        <v>45</v>
      </c>
      <c r="D31" s="3"/>
      <c r="F31" s="3" t="s">
        <v>4</v>
      </c>
      <c r="G31" s="3">
        <f>G23/3</f>
        <v>2.8955649778710058</v>
      </c>
      <c r="H31" s="3" t="s">
        <v>29</v>
      </c>
      <c r="I31" s="5" t="s">
        <v>54</v>
      </c>
      <c r="J31" s="5"/>
    </row>
    <row r="32" spans="1:12" x14ac:dyDescent="0.3">
      <c r="A32" s="12" t="s">
        <v>15</v>
      </c>
      <c r="B32" s="13">
        <f>2*B5*10^-3</f>
        <v>4.1920000000000006E-2</v>
      </c>
      <c r="C32" s="3" t="s">
        <v>45</v>
      </c>
      <c r="D32" s="3" t="s">
        <v>59</v>
      </c>
      <c r="F32" s="3" t="s">
        <v>8</v>
      </c>
      <c r="G32" s="3">
        <f t="shared" ref="G32:G33" si="0">G24/3</f>
        <v>2.8955649778710053</v>
      </c>
      <c r="H32" s="3" t="s">
        <v>29</v>
      </c>
      <c r="I32" s="5" t="s">
        <v>55</v>
      </c>
      <c r="J32" s="5"/>
    </row>
    <row r="33" spans="1:10" ht="14.4" customHeight="1" x14ac:dyDescent="0.3">
      <c r="A33" s="3" t="s">
        <v>58</v>
      </c>
      <c r="B33" s="3">
        <v>10</v>
      </c>
      <c r="C33" s="3" t="s">
        <v>45</v>
      </c>
      <c r="D33" s="14" t="s">
        <v>70</v>
      </c>
      <c r="F33" s="3" t="s">
        <v>12</v>
      </c>
      <c r="G33" s="3">
        <f t="shared" si="0"/>
        <v>2.8955649778710058</v>
      </c>
      <c r="H33" s="3" t="s">
        <v>29</v>
      </c>
      <c r="I33" s="5" t="s">
        <v>56</v>
      </c>
      <c r="J33" s="5"/>
    </row>
  </sheetData>
  <mergeCells count="11">
    <mergeCell ref="I30:J30"/>
    <mergeCell ref="I31:J31"/>
    <mergeCell ref="I32:J32"/>
    <mergeCell ref="I33:J33"/>
    <mergeCell ref="F1:H1"/>
    <mergeCell ref="F14:G14"/>
    <mergeCell ref="A22:B22"/>
    <mergeCell ref="F8:G8"/>
    <mergeCell ref="F2:I6"/>
    <mergeCell ref="A4:B4"/>
    <mergeCell ref="A15:B15"/>
  </mergeCells>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BD05E-52C7-439E-AC41-610915457E72}">
  <dimension ref="A1:L39"/>
  <sheetViews>
    <sheetView topLeftCell="B1" zoomScale="83" zoomScaleNormal="70" workbookViewId="0">
      <selection activeCell="E9" sqref="E9"/>
    </sheetView>
  </sheetViews>
  <sheetFormatPr defaultRowHeight="14.4" x14ac:dyDescent="0.3"/>
  <cols>
    <col min="1" max="1" width="14.109375" customWidth="1"/>
    <col min="2" max="2" width="16.77734375" customWidth="1"/>
    <col min="3" max="3" width="5.44140625" bestFit="1" customWidth="1"/>
    <col min="4" max="4" width="34.5546875" customWidth="1"/>
    <col min="6" max="6" width="12.6640625" customWidth="1"/>
    <col min="7" max="7" width="12.44140625" bestFit="1" customWidth="1"/>
    <col min="9" max="9" width="12.88671875" customWidth="1"/>
  </cols>
  <sheetData>
    <row r="1" spans="1:9" ht="15.6" x14ac:dyDescent="0.3">
      <c r="A1" s="22" t="s">
        <v>27</v>
      </c>
      <c r="B1" t="s">
        <v>0</v>
      </c>
      <c r="F1" s="20" t="s">
        <v>31</v>
      </c>
      <c r="G1" s="20"/>
      <c r="H1" s="20"/>
      <c r="I1" s="6"/>
    </row>
    <row r="2" spans="1:9" ht="14.4" customHeight="1" x14ac:dyDescent="0.3">
      <c r="A2" s="22" t="s">
        <v>24</v>
      </c>
      <c r="B2" t="s">
        <v>61</v>
      </c>
      <c r="F2" s="4" t="s">
        <v>85</v>
      </c>
      <c r="G2" s="4"/>
      <c r="H2" s="4"/>
      <c r="I2" s="4"/>
    </row>
    <row r="3" spans="1:9" ht="15.6" x14ac:dyDescent="0.3">
      <c r="A3" s="22" t="s">
        <v>25</v>
      </c>
      <c r="B3" t="s">
        <v>30</v>
      </c>
      <c r="F3" s="4"/>
      <c r="G3" s="4"/>
      <c r="H3" s="4"/>
      <c r="I3" s="4"/>
    </row>
    <row r="4" spans="1:9" x14ac:dyDescent="0.3">
      <c r="A4" s="15" t="s">
        <v>57</v>
      </c>
      <c r="B4" s="15"/>
      <c r="C4" s="16" t="s">
        <v>28</v>
      </c>
      <c r="D4" s="16" t="s">
        <v>32</v>
      </c>
      <c r="F4" s="4"/>
      <c r="G4" s="4"/>
      <c r="H4" s="4"/>
      <c r="I4" s="4"/>
    </row>
    <row r="5" spans="1:9" x14ac:dyDescent="0.3">
      <c r="A5" s="3" t="s">
        <v>1</v>
      </c>
      <c r="B5" s="3">
        <v>10.02</v>
      </c>
      <c r="C5" s="3" t="s">
        <v>29</v>
      </c>
      <c r="D5" s="3"/>
      <c r="F5" s="4"/>
      <c r="G5" s="4"/>
      <c r="H5" s="4"/>
      <c r="I5" s="4"/>
    </row>
    <row r="6" spans="1:9" x14ac:dyDescent="0.3">
      <c r="A6" s="3" t="s">
        <v>5</v>
      </c>
      <c r="B6" s="3">
        <v>4.29</v>
      </c>
      <c r="C6" s="3" t="s">
        <v>37</v>
      </c>
      <c r="D6" s="3"/>
      <c r="F6" s="4"/>
      <c r="G6" s="4"/>
      <c r="H6" s="4"/>
      <c r="I6" s="4"/>
    </row>
    <row r="7" spans="1:9" x14ac:dyDescent="0.3">
      <c r="A7" s="3" t="s">
        <v>9</v>
      </c>
      <c r="B7" s="3">
        <v>4.29</v>
      </c>
      <c r="C7" s="3" t="s">
        <v>37</v>
      </c>
      <c r="D7" s="3"/>
      <c r="F7" s="21" t="s">
        <v>35</v>
      </c>
      <c r="G7" s="21" t="s">
        <v>29</v>
      </c>
      <c r="H7" s="7"/>
      <c r="I7" s="7"/>
    </row>
    <row r="8" spans="1:9" x14ac:dyDescent="0.3">
      <c r="A8" s="3" t="s">
        <v>13</v>
      </c>
      <c r="B8" s="3">
        <v>3.06</v>
      </c>
      <c r="C8" s="3" t="s">
        <v>37</v>
      </c>
      <c r="D8" s="3"/>
      <c r="F8" s="18" t="s">
        <v>36</v>
      </c>
      <c r="G8" s="19"/>
      <c r="H8" s="7"/>
      <c r="I8" s="7"/>
    </row>
    <row r="9" spans="1:9" x14ac:dyDescent="0.3">
      <c r="A9" s="3" t="s">
        <v>14</v>
      </c>
      <c r="B9" s="3">
        <v>0.28100000000000003</v>
      </c>
      <c r="C9" s="3" t="s">
        <v>37</v>
      </c>
      <c r="D9" s="3"/>
      <c r="F9" s="8"/>
      <c r="G9" s="3">
        <v>1</v>
      </c>
      <c r="H9" s="3">
        <v>2</v>
      </c>
      <c r="I9" s="3">
        <v>3</v>
      </c>
    </row>
    <row r="10" spans="1:9" x14ac:dyDescent="0.3">
      <c r="A10" s="3" t="s">
        <v>16</v>
      </c>
      <c r="B10" s="3">
        <v>0.74099999999999999</v>
      </c>
      <c r="C10" s="3" t="s">
        <v>37</v>
      </c>
      <c r="D10" s="3"/>
      <c r="F10" s="3">
        <v>1</v>
      </c>
      <c r="G10" s="3">
        <f>2*B5*B6</f>
        <v>85.971599999999995</v>
      </c>
      <c r="H10" s="3">
        <f>2*B5*B16</f>
        <v>24.158019600000003</v>
      </c>
      <c r="I10" s="3">
        <f>2*B5*B18</f>
        <v>53.802850389551956</v>
      </c>
    </row>
    <row r="11" spans="1:9" x14ac:dyDescent="0.3">
      <c r="A11" s="3" t="s">
        <v>17</v>
      </c>
      <c r="B11" s="3">
        <v>0.74099999999999999</v>
      </c>
      <c r="C11" s="3" t="s">
        <v>37</v>
      </c>
      <c r="D11" s="3"/>
      <c r="F11" s="3">
        <v>2</v>
      </c>
      <c r="G11" s="3">
        <f>2*B5*B16</f>
        <v>24.158019600000003</v>
      </c>
      <c r="H11" s="3">
        <f>2*B5*B7</f>
        <v>85.971599999999995</v>
      </c>
      <c r="I11" s="3">
        <f>2*B5*B17</f>
        <v>53.802850389551956</v>
      </c>
    </row>
    <row r="12" spans="1:9" x14ac:dyDescent="0.3">
      <c r="A12" s="3" t="s">
        <v>2</v>
      </c>
      <c r="B12" s="3">
        <v>27.4</v>
      </c>
      <c r="C12" s="3" t="s">
        <v>29</v>
      </c>
      <c r="D12" s="3"/>
      <c r="F12" s="3">
        <v>3</v>
      </c>
      <c r="G12" s="3">
        <f>2*B5*B18</f>
        <v>53.802850389551956</v>
      </c>
      <c r="H12" s="3">
        <f>2*B5*B17</f>
        <v>53.802850389551956</v>
      </c>
      <c r="I12" s="3">
        <f>2*B5*B8</f>
        <v>61.322400000000002</v>
      </c>
    </row>
    <row r="13" spans="1:9" x14ac:dyDescent="0.3">
      <c r="A13" s="3" t="s">
        <v>6</v>
      </c>
      <c r="B13" s="3">
        <v>27.4</v>
      </c>
      <c r="C13" s="3" t="s">
        <v>29</v>
      </c>
      <c r="D13" s="3"/>
      <c r="F13" s="7"/>
      <c r="G13" s="7"/>
      <c r="H13" s="7"/>
      <c r="I13" s="7"/>
    </row>
    <row r="14" spans="1:9" x14ac:dyDescent="0.3">
      <c r="A14" s="3" t="s">
        <v>10</v>
      </c>
      <c r="B14" s="3">
        <v>8.8000000000000007</v>
      </c>
      <c r="C14" s="3" t="s">
        <v>29</v>
      </c>
      <c r="D14" s="3"/>
      <c r="F14" s="18" t="s">
        <v>60</v>
      </c>
      <c r="G14" s="19"/>
      <c r="H14" s="7"/>
      <c r="I14" s="7"/>
    </row>
    <row r="15" spans="1:9" x14ac:dyDescent="0.3">
      <c r="A15" s="15" t="s">
        <v>18</v>
      </c>
      <c r="B15" s="15"/>
      <c r="C15" s="17"/>
      <c r="D15" s="17"/>
      <c r="F15" s="3" t="s">
        <v>38</v>
      </c>
      <c r="G15" s="3" t="s">
        <v>39</v>
      </c>
      <c r="H15" s="9"/>
      <c r="I15" s="7"/>
    </row>
    <row r="16" spans="1:9" x14ac:dyDescent="0.3">
      <c r="A16" s="3" t="s">
        <v>19</v>
      </c>
      <c r="B16" s="3">
        <f>B9*SQRT(B6*B7)</f>
        <v>1.2054900000000002</v>
      </c>
      <c r="C16" s="3" t="s">
        <v>37</v>
      </c>
      <c r="D16" s="3" t="s">
        <v>33</v>
      </c>
      <c r="F16" s="3"/>
      <c r="G16" s="3">
        <v>1</v>
      </c>
      <c r="H16" s="3">
        <v>2</v>
      </c>
      <c r="I16" s="3">
        <v>3</v>
      </c>
    </row>
    <row r="17" spans="1:12" x14ac:dyDescent="0.3">
      <c r="A17" s="3" t="s">
        <v>20</v>
      </c>
      <c r="B17" s="3">
        <f>B10*SQRT(B7*B8)</f>
        <v>2.6847729735305368</v>
      </c>
      <c r="C17" s="3" t="s">
        <v>37</v>
      </c>
      <c r="D17" s="3" t="s">
        <v>33</v>
      </c>
      <c r="F17" s="3">
        <v>1</v>
      </c>
      <c r="G17" s="3" cm="1">
        <f t="array" ref="G17:I19">MINVERSE(G10:I12)</f>
        <v>3.9897728749093656E-2</v>
      </c>
      <c r="H17" s="3">
        <v>2.3720053980395096E-2</v>
      </c>
      <c r="I17" s="3">
        <v>-5.5816765917669646E-2</v>
      </c>
    </row>
    <row r="18" spans="1:12" x14ac:dyDescent="0.3">
      <c r="A18" s="3" t="s">
        <v>21</v>
      </c>
      <c r="B18" s="3">
        <f>B11*SQRT(B8*B6)</f>
        <v>2.6847729735305368</v>
      </c>
      <c r="C18" s="3" t="s">
        <v>37</v>
      </c>
      <c r="D18" s="3" t="s">
        <v>33</v>
      </c>
      <c r="F18" s="3">
        <v>2</v>
      </c>
      <c r="G18" s="3">
        <v>2.3720053980395093E-2</v>
      </c>
      <c r="H18" s="3">
        <v>3.9897728749093662E-2</v>
      </c>
      <c r="I18" s="3">
        <v>-5.5816765917669653E-2</v>
      </c>
    </row>
    <row r="19" spans="1:12" x14ac:dyDescent="0.3">
      <c r="A19" s="3" t="s">
        <v>22</v>
      </c>
      <c r="B19" s="3">
        <f>(B7+B18-B16-B17)/(B7+B8-2*B17)</f>
        <v>1.5574761734172486</v>
      </c>
      <c r="C19" s="3" t="s">
        <v>37</v>
      </c>
      <c r="D19" s="3" t="s">
        <v>34</v>
      </c>
      <c r="F19" s="3">
        <v>3</v>
      </c>
      <c r="G19" s="3">
        <v>-5.5816765917669646E-2</v>
      </c>
      <c r="H19" s="3">
        <v>-5.5816765917669653E-2</v>
      </c>
      <c r="I19" s="3">
        <v>0.11425192444839154</v>
      </c>
    </row>
    <row r="22" spans="1:12" x14ac:dyDescent="0.3">
      <c r="A22" s="18" t="s">
        <v>66</v>
      </c>
      <c r="B22" s="19"/>
      <c r="C22" s="16" t="s">
        <v>42</v>
      </c>
      <c r="D22" s="16" t="s">
        <v>32</v>
      </c>
      <c r="F22" s="16" t="s">
        <v>40</v>
      </c>
      <c r="G22" s="16" t="s">
        <v>41</v>
      </c>
      <c r="H22" s="16" t="s">
        <v>42</v>
      </c>
      <c r="I22" s="16" t="s">
        <v>43</v>
      </c>
    </row>
    <row r="23" spans="1:12" x14ac:dyDescent="0.3">
      <c r="A23" s="3" t="s">
        <v>2</v>
      </c>
      <c r="B23" s="13">
        <f>G23*10^-3</f>
        <v>2.506408337899978E-2</v>
      </c>
      <c r="C23" s="3" t="s">
        <v>45</v>
      </c>
      <c r="D23" s="3" t="s">
        <v>65</v>
      </c>
      <c r="F23" s="3" t="s">
        <v>2</v>
      </c>
      <c r="G23" s="3">
        <f>(1/G17)</f>
        <v>25.064083378999779</v>
      </c>
      <c r="H23" s="3" t="s">
        <v>29</v>
      </c>
      <c r="I23" s="3" t="s">
        <v>44</v>
      </c>
    </row>
    <row r="24" spans="1:12" x14ac:dyDescent="0.3">
      <c r="A24" s="3" t="s">
        <v>6</v>
      </c>
      <c r="B24" s="13">
        <f>G24*10^-3</f>
        <v>2.5064083378999777E-2</v>
      </c>
      <c r="C24" s="3" t="s">
        <v>45</v>
      </c>
      <c r="D24" s="3" t="s">
        <v>65</v>
      </c>
      <c r="F24" s="3" t="s">
        <v>6</v>
      </c>
      <c r="G24" s="3">
        <f>(1/H18)</f>
        <v>25.064083378999776</v>
      </c>
      <c r="H24" s="3" t="s">
        <v>29</v>
      </c>
      <c r="I24" s="3" t="s">
        <v>49</v>
      </c>
    </row>
    <row r="25" spans="1:12" x14ac:dyDescent="0.3">
      <c r="A25" s="3" t="s">
        <v>10</v>
      </c>
      <c r="B25" s="13">
        <f>G25*10^-3</f>
        <v>8.7525877995316189E-3</v>
      </c>
      <c r="C25" s="3" t="s">
        <v>45</v>
      </c>
      <c r="D25" s="3" t="s">
        <v>65</v>
      </c>
      <c r="F25" s="3" t="s">
        <v>10</v>
      </c>
      <c r="G25" s="3">
        <f>(1/I19)</f>
        <v>8.7525877995316179</v>
      </c>
      <c r="H25" s="3" t="s">
        <v>29</v>
      </c>
      <c r="I25" s="3" t="s">
        <v>48</v>
      </c>
    </row>
    <row r="26" spans="1:12" x14ac:dyDescent="0.3">
      <c r="A26" s="3" t="s">
        <v>3</v>
      </c>
      <c r="B26" s="13">
        <f>G26</f>
        <v>-0.59452141071899822</v>
      </c>
      <c r="C26" s="3" t="s">
        <v>37</v>
      </c>
      <c r="D26" s="3" t="s">
        <v>65</v>
      </c>
      <c r="F26" s="3" t="s">
        <v>3</v>
      </c>
      <c r="G26" s="3">
        <f>-G23*G18</f>
        <v>-0.59452141071899822</v>
      </c>
      <c r="H26" s="3" t="s">
        <v>37</v>
      </c>
      <c r="I26" s="3" t="s">
        <v>46</v>
      </c>
      <c r="L26" s="11"/>
    </row>
    <row r="27" spans="1:12" x14ac:dyDescent="0.3">
      <c r="A27" s="3" t="s">
        <v>7</v>
      </c>
      <c r="B27" s="13">
        <f>G27</f>
        <v>1.3989960749065851</v>
      </c>
      <c r="C27" s="3" t="s">
        <v>37</v>
      </c>
      <c r="D27" s="3" t="s">
        <v>65</v>
      </c>
      <c r="F27" s="3" t="s">
        <v>7</v>
      </c>
      <c r="G27" s="3">
        <f>-G24*I18</f>
        <v>1.3989960749065851</v>
      </c>
      <c r="H27" s="3" t="s">
        <v>37</v>
      </c>
      <c r="I27" s="3" t="s">
        <v>50</v>
      </c>
    </row>
    <row r="28" spans="1:12" x14ac:dyDescent="0.3">
      <c r="A28" s="3" t="s">
        <v>11</v>
      </c>
      <c r="B28" s="13">
        <f>G28</f>
        <v>0.4885411443803076</v>
      </c>
      <c r="C28" s="3" t="s">
        <v>37</v>
      </c>
      <c r="D28" s="3" t="s">
        <v>65</v>
      </c>
      <c r="F28" s="3" t="s">
        <v>11</v>
      </c>
      <c r="G28" s="3">
        <f>-G25*G19</f>
        <v>0.4885411443803076</v>
      </c>
      <c r="H28" s="3" t="s">
        <v>37</v>
      </c>
      <c r="I28" s="3" t="s">
        <v>47</v>
      </c>
    </row>
    <row r="29" spans="1:12" x14ac:dyDescent="0.3">
      <c r="A29" s="3" t="s">
        <v>4</v>
      </c>
      <c r="B29" s="13">
        <f>G31*10^-3</f>
        <v>2.9175292665105396E-3</v>
      </c>
      <c r="C29" s="3" t="s">
        <v>45</v>
      </c>
      <c r="D29" s="3"/>
      <c r="F29" s="11"/>
      <c r="G29" s="11"/>
      <c r="H29" s="11"/>
      <c r="I29" s="11"/>
    </row>
    <row r="30" spans="1:12" x14ac:dyDescent="0.3">
      <c r="A30" s="3" t="s">
        <v>8</v>
      </c>
      <c r="B30" s="13">
        <f>G32*10^-3</f>
        <v>5.0000000000000001E-3</v>
      </c>
      <c r="C30" s="3" t="s">
        <v>45</v>
      </c>
      <c r="D30" s="3"/>
      <c r="F30" s="16" t="s">
        <v>52</v>
      </c>
      <c r="G30" s="16" t="s">
        <v>41</v>
      </c>
      <c r="H30" s="16" t="s">
        <v>42</v>
      </c>
      <c r="I30" s="15" t="s">
        <v>53</v>
      </c>
      <c r="J30" s="15"/>
    </row>
    <row r="31" spans="1:12" x14ac:dyDescent="0.3">
      <c r="A31" s="3" t="s">
        <v>12</v>
      </c>
      <c r="B31" s="13">
        <f>G33*10^-3</f>
        <v>5.0000000000000001E-3</v>
      </c>
      <c r="C31" s="3" t="s">
        <v>45</v>
      </c>
      <c r="D31" s="3"/>
      <c r="F31" s="3" t="s">
        <v>4</v>
      </c>
      <c r="G31" s="13">
        <f>(G25)/3</f>
        <v>2.9175292665105395</v>
      </c>
      <c r="H31" s="3" t="s">
        <v>29</v>
      </c>
      <c r="I31" s="5" t="s">
        <v>64</v>
      </c>
      <c r="J31" s="5"/>
    </row>
    <row r="32" spans="1:12" x14ac:dyDescent="0.3">
      <c r="A32" s="12" t="s">
        <v>15</v>
      </c>
      <c r="B32" s="13">
        <f>2*B5*10^-3</f>
        <v>2.0039999999999999E-2</v>
      </c>
      <c r="C32" s="3" t="s">
        <v>45</v>
      </c>
      <c r="D32" s="3" t="s">
        <v>59</v>
      </c>
      <c r="F32" s="3" t="s">
        <v>8</v>
      </c>
      <c r="G32" s="3">
        <v>5</v>
      </c>
      <c r="H32" s="3" t="s">
        <v>29</v>
      </c>
      <c r="I32" s="5" t="s">
        <v>63</v>
      </c>
      <c r="J32" s="5"/>
    </row>
    <row r="33" spans="1:10" ht="15" customHeight="1" x14ac:dyDescent="0.3">
      <c r="A33" s="3" t="s">
        <v>58</v>
      </c>
      <c r="B33" s="3">
        <v>10</v>
      </c>
      <c r="C33" s="3" t="s">
        <v>45</v>
      </c>
      <c r="D33" s="14" t="s">
        <v>70</v>
      </c>
      <c r="F33" s="3" t="s">
        <v>12</v>
      </c>
      <c r="G33" s="3">
        <v>5</v>
      </c>
      <c r="H33" s="3" t="s">
        <v>29</v>
      </c>
      <c r="I33" s="5" t="s">
        <v>63</v>
      </c>
      <c r="J33" s="5"/>
    </row>
    <row r="34" spans="1:10" ht="14.4" customHeight="1" x14ac:dyDescent="0.3">
      <c r="F34" s="25" t="s">
        <v>62</v>
      </c>
      <c r="G34" s="23"/>
      <c r="H34" s="24"/>
      <c r="I34" s="24"/>
    </row>
    <row r="35" spans="1:10" x14ac:dyDescent="0.3">
      <c r="F35" s="24"/>
      <c r="G35" s="24"/>
      <c r="H35" s="24"/>
      <c r="I35" s="24"/>
    </row>
    <row r="36" spans="1:10" x14ac:dyDescent="0.3">
      <c r="F36" s="24"/>
      <c r="G36" s="24"/>
      <c r="H36" s="24"/>
      <c r="I36" s="24"/>
    </row>
    <row r="37" spans="1:10" x14ac:dyDescent="0.3">
      <c r="F37" s="24"/>
      <c r="G37" s="24"/>
      <c r="H37" s="24"/>
      <c r="I37" s="24"/>
    </row>
    <row r="38" spans="1:10" x14ac:dyDescent="0.3">
      <c r="F38" s="24"/>
      <c r="G38" s="24"/>
      <c r="H38" s="24"/>
      <c r="I38" s="24"/>
    </row>
    <row r="39" spans="1:10" x14ac:dyDescent="0.3">
      <c r="F39" s="24"/>
      <c r="G39" s="24"/>
      <c r="H39" s="24"/>
      <c r="I39" s="24"/>
    </row>
  </sheetData>
  <mergeCells count="12">
    <mergeCell ref="A22:B22"/>
    <mergeCell ref="F34:I39"/>
    <mergeCell ref="I30:J30"/>
    <mergeCell ref="I31:J31"/>
    <mergeCell ref="I32:J32"/>
    <mergeCell ref="I33:J33"/>
    <mergeCell ref="F1:H1"/>
    <mergeCell ref="F2:I6"/>
    <mergeCell ref="A4:B4"/>
    <mergeCell ref="F8:G8"/>
    <mergeCell ref="F14:G14"/>
    <mergeCell ref="A15:B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52448-E3EB-41E6-B477-69FB0CC6AB24}">
  <dimension ref="A1:L39"/>
  <sheetViews>
    <sheetView topLeftCell="B1" zoomScale="88" zoomScaleNormal="70" workbookViewId="0">
      <selection activeCell="E19" sqref="E19"/>
    </sheetView>
  </sheetViews>
  <sheetFormatPr defaultRowHeight="14.4" x14ac:dyDescent="0.3"/>
  <cols>
    <col min="1" max="1" width="14.109375" customWidth="1"/>
    <col min="2" max="2" width="16.77734375" customWidth="1"/>
    <col min="3" max="3" width="5.44140625" bestFit="1" customWidth="1"/>
    <col min="4" max="4" width="35.44140625" customWidth="1"/>
    <col min="6" max="6" width="12.6640625" customWidth="1"/>
    <col min="7" max="7" width="12.44140625" bestFit="1" customWidth="1"/>
    <col min="9" max="9" width="12.88671875" customWidth="1"/>
    <col min="10" max="10" width="9.77734375" customWidth="1"/>
  </cols>
  <sheetData>
    <row r="1" spans="1:9" ht="15.6" x14ac:dyDescent="0.3">
      <c r="A1" s="22" t="s">
        <v>27</v>
      </c>
      <c r="B1" t="s">
        <v>23</v>
      </c>
      <c r="F1" s="20" t="s">
        <v>31</v>
      </c>
      <c r="G1" s="20"/>
      <c r="H1" s="20"/>
      <c r="I1" s="6"/>
    </row>
    <row r="2" spans="1:9" ht="14.4" customHeight="1" x14ac:dyDescent="0.3">
      <c r="A2" s="22" t="s">
        <v>24</v>
      </c>
      <c r="B2" t="s">
        <v>67</v>
      </c>
      <c r="F2" s="4" t="s">
        <v>85</v>
      </c>
      <c r="G2" s="4"/>
      <c r="H2" s="4"/>
      <c r="I2" s="4"/>
    </row>
    <row r="3" spans="1:9" ht="15.6" x14ac:dyDescent="0.3">
      <c r="A3" s="22" t="s">
        <v>25</v>
      </c>
      <c r="B3" t="s">
        <v>26</v>
      </c>
      <c r="F3" s="4"/>
      <c r="G3" s="4"/>
      <c r="H3" s="4"/>
      <c r="I3" s="4"/>
    </row>
    <row r="4" spans="1:9" x14ac:dyDescent="0.3">
      <c r="A4" s="15" t="s">
        <v>57</v>
      </c>
      <c r="B4" s="15"/>
      <c r="C4" s="16" t="s">
        <v>28</v>
      </c>
      <c r="D4" s="16" t="s">
        <v>32</v>
      </c>
      <c r="F4" s="4"/>
      <c r="G4" s="4"/>
      <c r="H4" s="4"/>
      <c r="I4" s="4"/>
    </row>
    <row r="5" spans="1:9" x14ac:dyDescent="0.3">
      <c r="A5" s="3" t="s">
        <v>1</v>
      </c>
      <c r="B5" s="3">
        <v>3.29</v>
      </c>
      <c r="C5" s="3" t="s">
        <v>29</v>
      </c>
      <c r="D5" s="3"/>
      <c r="F5" s="4"/>
      <c r="G5" s="4"/>
      <c r="H5" s="4"/>
      <c r="I5" s="4"/>
    </row>
    <row r="6" spans="1:9" x14ac:dyDescent="0.3">
      <c r="A6" s="3" t="s">
        <v>5</v>
      </c>
      <c r="B6" s="3">
        <v>1.08</v>
      </c>
      <c r="C6" s="3" t="s">
        <v>37</v>
      </c>
      <c r="D6" s="3"/>
      <c r="F6" s="4"/>
      <c r="G6" s="4"/>
      <c r="H6" s="4"/>
      <c r="I6" s="4"/>
    </row>
    <row r="7" spans="1:9" x14ac:dyDescent="0.3">
      <c r="A7" s="3" t="s">
        <v>9</v>
      </c>
      <c r="B7" s="3">
        <v>28.59</v>
      </c>
      <c r="C7" s="3" t="s">
        <v>37</v>
      </c>
      <c r="D7" s="3"/>
      <c r="F7" s="21" t="s">
        <v>35</v>
      </c>
      <c r="G7" s="21" t="s">
        <v>29</v>
      </c>
      <c r="H7" s="7"/>
      <c r="I7" s="7"/>
    </row>
    <row r="8" spans="1:9" x14ac:dyDescent="0.3">
      <c r="A8" s="3" t="s">
        <v>13</v>
      </c>
      <c r="B8" s="3">
        <v>28.59</v>
      </c>
      <c r="C8" s="3" t="s">
        <v>37</v>
      </c>
      <c r="D8" s="3"/>
      <c r="F8" s="18" t="s">
        <v>36</v>
      </c>
      <c r="G8" s="19"/>
      <c r="H8" s="7"/>
      <c r="I8" s="7"/>
    </row>
    <row r="9" spans="1:9" x14ac:dyDescent="0.3">
      <c r="A9" s="3" t="s">
        <v>14</v>
      </c>
      <c r="B9" s="3">
        <v>0</v>
      </c>
      <c r="C9" s="3" t="s">
        <v>37</v>
      </c>
      <c r="D9" s="3"/>
      <c r="F9" s="8"/>
      <c r="G9" s="3">
        <v>1</v>
      </c>
      <c r="H9" s="3">
        <v>2</v>
      </c>
      <c r="I9" s="3">
        <v>3</v>
      </c>
    </row>
    <row r="10" spans="1:9" x14ac:dyDescent="0.3">
      <c r="A10" s="3" t="s">
        <v>16</v>
      </c>
      <c r="B10" s="3">
        <v>0.27100000000000002</v>
      </c>
      <c r="C10" s="3" t="s">
        <v>37</v>
      </c>
      <c r="D10" s="3"/>
      <c r="F10" s="3">
        <v>1</v>
      </c>
      <c r="G10" s="3">
        <f>2*B5*B6</f>
        <v>7.1064000000000007</v>
      </c>
      <c r="H10" s="3">
        <f>2*B5*B16</f>
        <v>0</v>
      </c>
      <c r="I10" s="3">
        <f>2*B5*B18</f>
        <v>0</v>
      </c>
    </row>
    <row r="11" spans="1:9" x14ac:dyDescent="0.3">
      <c r="A11" s="3" t="s">
        <v>17</v>
      </c>
      <c r="B11" s="3">
        <v>0</v>
      </c>
      <c r="C11" s="3" t="s">
        <v>37</v>
      </c>
      <c r="D11" s="3"/>
      <c r="F11" s="3">
        <v>2</v>
      </c>
      <c r="G11" s="3">
        <f>2*B5*B16</f>
        <v>0</v>
      </c>
      <c r="H11" s="3">
        <f>2*B5*B7</f>
        <v>188.12219999999999</v>
      </c>
      <c r="I11" s="3">
        <f>2*B5*B17</f>
        <v>50.98111620000001</v>
      </c>
    </row>
    <row r="12" spans="1:9" x14ac:dyDescent="0.3">
      <c r="A12" s="3" t="s">
        <v>2</v>
      </c>
      <c r="B12" s="3">
        <v>126.7</v>
      </c>
      <c r="C12" s="3" t="s">
        <v>29</v>
      </c>
      <c r="D12" s="3"/>
      <c r="F12" s="3">
        <v>3</v>
      </c>
      <c r="G12" s="3">
        <f>2*B5*B18</f>
        <v>0</v>
      </c>
      <c r="H12" s="3">
        <f>2*B5*B17</f>
        <v>50.98111620000001</v>
      </c>
      <c r="I12" s="3">
        <f>2*B5*B8</f>
        <v>188.12219999999999</v>
      </c>
    </row>
    <row r="13" spans="1:9" x14ac:dyDescent="0.3">
      <c r="A13" s="3" t="s">
        <v>6</v>
      </c>
      <c r="B13" s="3">
        <v>178.1</v>
      </c>
      <c r="C13" s="3" t="s">
        <v>29</v>
      </c>
      <c r="D13" s="3"/>
      <c r="F13" s="7"/>
      <c r="G13" s="7"/>
      <c r="H13" s="7"/>
      <c r="I13" s="7"/>
    </row>
    <row r="14" spans="1:9" x14ac:dyDescent="0.3">
      <c r="A14" s="3" t="s">
        <v>10</v>
      </c>
      <c r="B14" s="3">
        <v>178.1</v>
      </c>
      <c r="C14" s="3" t="s">
        <v>29</v>
      </c>
      <c r="D14" s="3"/>
      <c r="F14" s="18" t="s">
        <v>60</v>
      </c>
      <c r="G14" s="19"/>
      <c r="H14" s="7"/>
      <c r="I14" s="7"/>
    </row>
    <row r="15" spans="1:9" x14ac:dyDescent="0.3">
      <c r="A15" s="15" t="s">
        <v>18</v>
      </c>
      <c r="B15" s="15"/>
      <c r="C15" s="17"/>
      <c r="D15" s="17"/>
      <c r="F15" s="3" t="s">
        <v>38</v>
      </c>
      <c r="G15" s="3" t="s">
        <v>39</v>
      </c>
      <c r="H15" s="9"/>
      <c r="I15" s="7"/>
    </row>
    <row r="16" spans="1:9" x14ac:dyDescent="0.3">
      <c r="A16" s="3" t="s">
        <v>19</v>
      </c>
      <c r="B16" s="3">
        <f>B9*SQRT(B6*B7)</f>
        <v>0</v>
      </c>
      <c r="C16" s="3" t="s">
        <v>37</v>
      </c>
      <c r="D16" s="3" t="s">
        <v>33</v>
      </c>
      <c r="F16" s="3"/>
      <c r="G16" s="3">
        <v>1</v>
      </c>
      <c r="H16" s="3">
        <v>2</v>
      </c>
      <c r="I16" s="3">
        <v>3</v>
      </c>
    </row>
    <row r="17" spans="1:12" x14ac:dyDescent="0.3">
      <c r="A17" s="3" t="s">
        <v>20</v>
      </c>
      <c r="B17" s="3">
        <f>B10*SQRT(B7*B8)</f>
        <v>7.7478900000000008</v>
      </c>
      <c r="C17" s="3" t="s">
        <v>37</v>
      </c>
      <c r="D17" s="3" t="s">
        <v>33</v>
      </c>
      <c r="F17" s="3">
        <v>1</v>
      </c>
      <c r="G17" s="3" cm="1">
        <f t="array" ref="G17:I19">MINVERSE(G10:I12)</f>
        <v>0.1407182258246088</v>
      </c>
      <c r="H17" s="3">
        <v>0</v>
      </c>
      <c r="I17" s="3">
        <v>0</v>
      </c>
    </row>
    <row r="18" spans="1:12" x14ac:dyDescent="0.3">
      <c r="A18" s="3" t="s">
        <v>21</v>
      </c>
      <c r="B18" s="3">
        <f>B11*SQRT(B8*B6)</f>
        <v>0</v>
      </c>
      <c r="C18" s="3" t="s">
        <v>37</v>
      </c>
      <c r="D18" s="3" t="s">
        <v>33</v>
      </c>
      <c r="F18" s="3">
        <v>2</v>
      </c>
      <c r="G18" s="3">
        <v>0</v>
      </c>
      <c r="H18" s="3">
        <v>5.737026714156687E-3</v>
      </c>
      <c r="I18" s="3">
        <v>-1.5547342395364626E-3</v>
      </c>
    </row>
    <row r="19" spans="1:12" x14ac:dyDescent="0.3">
      <c r="A19" s="3" t="s">
        <v>22</v>
      </c>
      <c r="B19" s="3">
        <f>(B7+B18-B16-B17)/(B7+B8-2*B17)</f>
        <v>0.5</v>
      </c>
      <c r="C19" s="3" t="s">
        <v>37</v>
      </c>
      <c r="D19" s="3" t="s">
        <v>34</v>
      </c>
      <c r="F19" s="3">
        <v>3</v>
      </c>
      <c r="G19" s="3">
        <v>0</v>
      </c>
      <c r="H19" s="3">
        <v>-1.5547342395364626E-3</v>
      </c>
      <c r="I19" s="3">
        <v>5.737026714156687E-3</v>
      </c>
    </row>
    <row r="22" spans="1:12" x14ac:dyDescent="0.3">
      <c r="A22" s="18" t="s">
        <v>66</v>
      </c>
      <c r="B22" s="19"/>
      <c r="C22" s="16" t="s">
        <v>42</v>
      </c>
      <c r="D22" s="16" t="s">
        <v>32</v>
      </c>
      <c r="F22" s="16" t="s">
        <v>40</v>
      </c>
      <c r="G22" s="16" t="s">
        <v>41</v>
      </c>
      <c r="H22" s="16" t="s">
        <v>42</v>
      </c>
      <c r="I22" s="16" t="s">
        <v>43</v>
      </c>
    </row>
    <row r="23" spans="1:12" x14ac:dyDescent="0.3">
      <c r="A23" s="3" t="s">
        <v>2</v>
      </c>
      <c r="B23" s="13">
        <f>G23*10^-3</f>
        <v>7.1063999999999997E-3</v>
      </c>
      <c r="C23" s="3" t="s">
        <v>45</v>
      </c>
      <c r="D23" s="3" t="s">
        <v>65</v>
      </c>
      <c r="F23" s="3" t="s">
        <v>2</v>
      </c>
      <c r="G23" s="3">
        <f>(1/G17)</f>
        <v>7.1063999999999998</v>
      </c>
      <c r="H23" s="3" t="s">
        <v>29</v>
      </c>
      <c r="I23" s="3" t="s">
        <v>44</v>
      </c>
    </row>
    <row r="24" spans="1:12" x14ac:dyDescent="0.3">
      <c r="A24" s="3" t="s">
        <v>6</v>
      </c>
      <c r="B24" s="13">
        <f>G24*10^-3</f>
        <v>0.1743063175098</v>
      </c>
      <c r="C24" s="3" t="s">
        <v>45</v>
      </c>
      <c r="D24" s="3" t="s">
        <v>65</v>
      </c>
      <c r="F24" s="3" t="s">
        <v>6</v>
      </c>
      <c r="G24" s="3">
        <f>(1/H18)</f>
        <v>174.30631750979998</v>
      </c>
      <c r="H24" s="3" t="s">
        <v>29</v>
      </c>
      <c r="I24" s="3" t="s">
        <v>49</v>
      </c>
    </row>
    <row r="25" spans="1:12" x14ac:dyDescent="0.3">
      <c r="A25" s="3" t="s">
        <v>10</v>
      </c>
      <c r="B25" s="13">
        <f>G25*10^-3</f>
        <v>0.1743063175098</v>
      </c>
      <c r="C25" s="3" t="s">
        <v>45</v>
      </c>
      <c r="D25" s="3" t="s">
        <v>65</v>
      </c>
      <c r="F25" s="3" t="s">
        <v>10</v>
      </c>
      <c r="G25" s="3">
        <f>(1/I19)</f>
        <v>174.30631750979998</v>
      </c>
      <c r="H25" s="3" t="s">
        <v>29</v>
      </c>
      <c r="I25" s="3" t="s">
        <v>48</v>
      </c>
    </row>
    <row r="26" spans="1:12" x14ac:dyDescent="0.3">
      <c r="A26" s="3" t="s">
        <v>3</v>
      </c>
      <c r="B26" s="13">
        <f>G26</f>
        <v>0</v>
      </c>
      <c r="C26" s="3" t="s">
        <v>37</v>
      </c>
      <c r="D26" s="3" t="s">
        <v>65</v>
      </c>
      <c r="F26" s="3" t="s">
        <v>3</v>
      </c>
      <c r="G26" s="3">
        <f>-G23*G18</f>
        <v>0</v>
      </c>
      <c r="H26" s="3" t="s">
        <v>37</v>
      </c>
      <c r="I26" s="3" t="s">
        <v>46</v>
      </c>
      <c r="L26" s="11"/>
    </row>
    <row r="27" spans="1:12" x14ac:dyDescent="0.3">
      <c r="A27" s="3" t="s">
        <v>7</v>
      </c>
      <c r="B27" s="13">
        <f>G27</f>
        <v>0.27100000000000007</v>
      </c>
      <c r="C27" s="3" t="s">
        <v>37</v>
      </c>
      <c r="D27" s="3" t="s">
        <v>65</v>
      </c>
      <c r="F27" s="3" t="s">
        <v>7</v>
      </c>
      <c r="G27" s="3">
        <f>-G24*I18</f>
        <v>0.27100000000000007</v>
      </c>
      <c r="H27" s="3" t="s">
        <v>37</v>
      </c>
      <c r="I27" s="3" t="s">
        <v>50</v>
      </c>
    </row>
    <row r="28" spans="1:12" x14ac:dyDescent="0.3">
      <c r="A28" s="3" t="s">
        <v>11</v>
      </c>
      <c r="B28" s="13">
        <f>G28</f>
        <v>0</v>
      </c>
      <c r="C28" s="3" t="s">
        <v>37</v>
      </c>
      <c r="D28" s="3" t="s">
        <v>65</v>
      </c>
      <c r="F28" s="3" t="s">
        <v>11</v>
      </c>
      <c r="G28" s="3">
        <f>-G25*G19</f>
        <v>0</v>
      </c>
      <c r="H28" s="3" t="s">
        <v>37</v>
      </c>
      <c r="I28" s="3" t="s">
        <v>47</v>
      </c>
    </row>
    <row r="29" spans="1:12" x14ac:dyDescent="0.3">
      <c r="A29" s="3" t="s">
        <v>4</v>
      </c>
      <c r="B29" s="13">
        <f>G31*10^-3</f>
        <v>5.0000000000000001E-3</v>
      </c>
      <c r="C29" s="3" t="s">
        <v>45</v>
      </c>
      <c r="D29" s="3"/>
      <c r="F29" s="11"/>
      <c r="G29" s="11"/>
      <c r="H29" s="11"/>
      <c r="I29" s="11"/>
    </row>
    <row r="30" spans="1:12" x14ac:dyDescent="0.3">
      <c r="A30" s="3" t="s">
        <v>8</v>
      </c>
      <c r="B30" s="13">
        <f>G32*10^-3</f>
        <v>6.8570541899999976E-2</v>
      </c>
      <c r="C30" s="3" t="s">
        <v>45</v>
      </c>
      <c r="D30" s="3"/>
      <c r="F30" s="16" t="s">
        <v>52</v>
      </c>
      <c r="G30" s="16" t="s">
        <v>41</v>
      </c>
      <c r="H30" s="16" t="s">
        <v>42</v>
      </c>
      <c r="I30" s="15" t="s">
        <v>53</v>
      </c>
      <c r="J30" s="15"/>
    </row>
    <row r="31" spans="1:12" x14ac:dyDescent="0.3">
      <c r="A31" s="3" t="s">
        <v>12</v>
      </c>
      <c r="B31" s="13">
        <f>G33*10^-3</f>
        <v>5.0000000000000001E-3</v>
      </c>
      <c r="C31" s="3" t="s">
        <v>45</v>
      </c>
      <c r="D31" s="3"/>
      <c r="F31" s="3" t="s">
        <v>4</v>
      </c>
      <c r="G31" s="26">
        <v>5</v>
      </c>
      <c r="H31" s="3" t="s">
        <v>29</v>
      </c>
      <c r="I31" s="5" t="s">
        <v>63</v>
      </c>
      <c r="J31" s="5"/>
    </row>
    <row r="32" spans="1:12" x14ac:dyDescent="0.3">
      <c r="A32" s="12" t="s">
        <v>15</v>
      </c>
      <c r="B32" s="13">
        <f>2*B5*10^-3</f>
        <v>6.5799999999999999E-3</v>
      </c>
      <c r="C32" s="3" t="s">
        <v>45</v>
      </c>
      <c r="D32" s="3" t="s">
        <v>59</v>
      </c>
      <c r="F32" s="3" t="s">
        <v>8</v>
      </c>
      <c r="G32" s="3">
        <f>G25/(2*(G27+1))</f>
        <v>68.570541899999981</v>
      </c>
      <c r="H32" s="3" t="s">
        <v>29</v>
      </c>
      <c r="I32" s="27" t="s">
        <v>69</v>
      </c>
      <c r="J32" s="27"/>
    </row>
    <row r="33" spans="1:10" ht="15.6" customHeight="1" x14ac:dyDescent="0.3">
      <c r="A33" s="3" t="s">
        <v>58</v>
      </c>
      <c r="B33" s="3">
        <v>10</v>
      </c>
      <c r="C33" s="3" t="s">
        <v>45</v>
      </c>
      <c r="D33" s="14" t="s">
        <v>70</v>
      </c>
      <c r="F33" s="3" t="s">
        <v>12</v>
      </c>
      <c r="G33" s="3">
        <v>5</v>
      </c>
      <c r="H33" s="3" t="s">
        <v>29</v>
      </c>
      <c r="I33" s="5" t="s">
        <v>63</v>
      </c>
      <c r="J33" s="5"/>
    </row>
    <row r="34" spans="1:10" ht="14.4" customHeight="1" x14ac:dyDescent="0.3">
      <c r="F34" s="25" t="s">
        <v>62</v>
      </c>
      <c r="G34" s="23"/>
      <c r="H34" s="24"/>
      <c r="I34" s="24"/>
    </row>
    <row r="35" spans="1:10" x14ac:dyDescent="0.3">
      <c r="F35" s="24"/>
      <c r="G35" s="24"/>
      <c r="H35" s="24"/>
      <c r="I35" s="24"/>
    </row>
    <row r="36" spans="1:10" x14ac:dyDescent="0.3">
      <c r="F36" s="24"/>
      <c r="G36" s="24"/>
      <c r="H36" s="24"/>
      <c r="I36" s="24"/>
    </row>
    <row r="37" spans="1:10" x14ac:dyDescent="0.3">
      <c r="F37" s="24"/>
      <c r="G37" s="24"/>
      <c r="H37" s="24"/>
      <c r="I37" s="24"/>
    </row>
    <row r="38" spans="1:10" x14ac:dyDescent="0.3">
      <c r="F38" s="24"/>
      <c r="G38" s="24"/>
      <c r="H38" s="24"/>
      <c r="I38" s="24"/>
    </row>
    <row r="39" spans="1:10" x14ac:dyDescent="0.3">
      <c r="F39" s="24"/>
      <c r="G39" s="24"/>
      <c r="H39" s="24"/>
      <c r="I39" s="24"/>
    </row>
  </sheetData>
  <mergeCells count="11">
    <mergeCell ref="A22:B22"/>
    <mergeCell ref="I30:J30"/>
    <mergeCell ref="I31:J31"/>
    <mergeCell ref="I33:J33"/>
    <mergeCell ref="F34:I39"/>
    <mergeCell ref="F1:H1"/>
    <mergeCell ref="F2:I6"/>
    <mergeCell ref="A4:B4"/>
    <mergeCell ref="F8:G8"/>
    <mergeCell ref="F14:G14"/>
    <mergeCell ref="A15:B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85846182BEA34EA9A8F2012D858D69" ma:contentTypeVersion="13" ma:contentTypeDescription="Create a new document." ma:contentTypeScope="" ma:versionID="2990b98f38e708201f4130591471855e">
  <xsd:schema xmlns:xsd="http://www.w3.org/2001/XMLSchema" xmlns:xs="http://www.w3.org/2001/XMLSchema" xmlns:p="http://schemas.microsoft.com/office/2006/metadata/properties" xmlns:ns3="391b67c7-ba74-4931-8e7e-071cd97f2a9a" xmlns:ns4="82811da5-2c3e-4f5c-b744-fea6e6a863ab" targetNamespace="http://schemas.microsoft.com/office/2006/metadata/properties" ma:root="true" ma:fieldsID="b86d39798e5738ce6685ddfb23d8007c" ns3:_="" ns4:_="">
    <xsd:import namespace="391b67c7-ba74-4931-8e7e-071cd97f2a9a"/>
    <xsd:import namespace="82811da5-2c3e-4f5c-b744-fea6e6a863ab"/>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1b67c7-ba74-4931-8e7e-071cd97f2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811da5-2c3e-4f5c-b744-fea6e6a863a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91b67c7-ba74-4931-8e7e-071cd97f2a9a" xsi:nil="true"/>
  </documentManagement>
</p:properties>
</file>

<file path=customXml/itemProps1.xml><?xml version="1.0" encoding="utf-8"?>
<ds:datastoreItem xmlns:ds="http://schemas.openxmlformats.org/officeDocument/2006/customXml" ds:itemID="{6AA35606-6950-425D-872F-C1320019B8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1b67c7-ba74-4931-8e7e-071cd97f2a9a"/>
    <ds:schemaRef ds:uri="82811da5-2c3e-4f5c-b744-fea6e6a863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E4FD506-4BC4-43CB-B29C-1B80C394D278}">
  <ds:schemaRefs>
    <ds:schemaRef ds:uri="http://schemas.microsoft.com/sharepoint/v3/contenttype/forms"/>
  </ds:schemaRefs>
</ds:datastoreItem>
</file>

<file path=customXml/itemProps3.xml><?xml version="1.0" encoding="utf-8"?>
<ds:datastoreItem xmlns:ds="http://schemas.openxmlformats.org/officeDocument/2006/customXml" ds:itemID="{D1569C80-6E67-419A-AED5-C5D5D8103D3B}">
  <ds:schemaRefs>
    <ds:schemaRef ds:uri="http://schemas.microsoft.com/office/2006/documentManagement/types"/>
    <ds:schemaRef ds:uri="http://www.w3.org/XML/1998/namespace"/>
    <ds:schemaRef ds:uri="82811da5-2c3e-4f5c-b744-fea6e6a863ab"/>
    <ds:schemaRef ds:uri="http://purl.org/dc/terms/"/>
    <ds:schemaRef ds:uri="391b67c7-ba74-4931-8e7e-071cd97f2a9a"/>
    <ds:schemaRef ds:uri="http://schemas.microsoft.com/office/infopath/2007/PartnerControls"/>
    <ds:schemaRef ds:uri="http://schemas.microsoft.com/office/2006/metadata/properties"/>
    <ds:schemaRef ds:uri="http://schemas.openxmlformats.org/package/2006/metadata/core-properties"/>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Overview</vt:lpstr>
      <vt:lpstr>CNc3P_53_Isotropic</vt:lpstr>
      <vt:lpstr>CNc3P_53_TransIso</vt:lpstr>
      <vt:lpstr>CNd1_65_TransIso</vt:lpstr>
      <vt:lpstr>CNc3P_53_Isotropic!Print_Area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Esmee Bennison</dc:creator>
  <cp:lastModifiedBy>Esmee Bennison</cp:lastModifiedBy>
  <dcterms:created xsi:type="dcterms:W3CDTF">2026-08-27T20:44:47Z</dcterms:created>
  <dcterms:modified xsi:type="dcterms:W3CDTF">2026-08-28T12:13:09Z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0x0101000685846182BEA34EA9A8F2012D858D69</vt:lpwstr>
  </property>
</Properties>
</file>